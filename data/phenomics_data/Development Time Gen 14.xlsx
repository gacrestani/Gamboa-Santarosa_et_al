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Parvin\Desktop\"/>
    </mc:Choice>
  </mc:AlternateContent>
  <xr:revisionPtr revIDLastSave="0" documentId="13_ncr:1_{DF5C7937-A39A-4F21-B53F-654DA913893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all" sheetId="1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18" i="4" l="1"/>
  <c r="T116" i="4"/>
  <c r="T107" i="4"/>
  <c r="U116" i="4"/>
  <c r="U106" i="4"/>
  <c r="T106" i="4"/>
  <c r="H219" i="4" l="1"/>
  <c r="H214" i="4"/>
  <c r="H208" i="4"/>
  <c r="H203" i="4"/>
  <c r="H197" i="4"/>
  <c r="H192" i="4"/>
  <c r="H186" i="4"/>
  <c r="H181" i="4"/>
  <c r="H175" i="4"/>
  <c r="H170" i="4"/>
  <c r="H164" i="4"/>
  <c r="H159" i="4"/>
  <c r="H153" i="4"/>
  <c r="H148" i="4"/>
  <c r="H142" i="4"/>
  <c r="H137" i="4"/>
  <c r="H131" i="4"/>
  <c r="H126" i="4"/>
  <c r="H120" i="4"/>
  <c r="H115" i="4"/>
  <c r="H109" i="4"/>
  <c r="H104" i="4"/>
  <c r="H98" i="4"/>
  <c r="H93" i="4"/>
  <c r="H87" i="4"/>
  <c r="H82" i="4"/>
  <c r="H76" i="4"/>
  <c r="H71" i="4"/>
  <c r="H65" i="4"/>
  <c r="H60" i="4"/>
  <c r="H54" i="4"/>
  <c r="H49" i="4"/>
  <c r="H43" i="4"/>
  <c r="H38" i="4"/>
  <c r="H32" i="4"/>
  <c r="H27" i="4"/>
  <c r="H21" i="4"/>
  <c r="H16" i="4"/>
  <c r="H10" i="4"/>
  <c r="H5" i="4"/>
  <c r="P9" i="4" l="1"/>
  <c r="O9" i="4"/>
  <c r="G219" i="4"/>
  <c r="G214" i="4"/>
  <c r="G208" i="4"/>
  <c r="G203" i="4"/>
  <c r="G197" i="4"/>
  <c r="G192" i="4"/>
  <c r="G186" i="4"/>
  <c r="G181" i="4"/>
  <c r="G175" i="4"/>
  <c r="G170" i="4"/>
  <c r="G164" i="4"/>
  <c r="G159" i="4"/>
  <c r="G153" i="4"/>
  <c r="G148" i="4"/>
  <c r="G142" i="4"/>
  <c r="G137" i="4"/>
  <c r="G131" i="4"/>
  <c r="G126" i="4"/>
  <c r="G120" i="4"/>
  <c r="G115" i="4"/>
  <c r="G109" i="4"/>
  <c r="G104" i="4"/>
  <c r="G98" i="4"/>
  <c r="G93" i="4"/>
  <c r="G87" i="4"/>
  <c r="G82" i="4"/>
  <c r="G76" i="4"/>
  <c r="G71" i="4"/>
  <c r="G65" i="4"/>
  <c r="G60" i="4"/>
  <c r="G54" i="4"/>
  <c r="G49" i="4"/>
  <c r="G43" i="4"/>
  <c r="G38" i="4"/>
  <c r="G32" i="4"/>
  <c r="G27" i="4"/>
  <c r="G21" i="4"/>
  <c r="G16" i="4"/>
  <c r="G10" i="4"/>
  <c r="G5" i="4"/>
  <c r="BF4" i="3"/>
  <c r="BF5" i="3"/>
  <c r="BF6" i="3"/>
  <c r="BF7" i="3"/>
  <c r="BF8" i="3"/>
  <c r="BF9" i="3"/>
  <c r="BF10" i="3"/>
  <c r="BF11" i="3"/>
  <c r="BF12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BF58" i="3"/>
  <c r="BF59" i="3"/>
  <c r="BF60" i="3"/>
  <c r="BF61" i="3"/>
  <c r="BF62" i="3"/>
  <c r="BF63" i="3"/>
  <c r="BF64" i="3"/>
  <c r="BF65" i="3"/>
  <c r="BF66" i="3"/>
  <c r="BF67" i="3"/>
  <c r="BF68" i="3"/>
  <c r="BF69" i="3"/>
  <c r="BF70" i="3"/>
  <c r="BF71" i="3"/>
  <c r="BF72" i="3"/>
  <c r="BF73" i="3"/>
  <c r="BF74" i="3"/>
  <c r="BF75" i="3"/>
  <c r="BF76" i="3"/>
  <c r="BF77" i="3"/>
  <c r="BF78" i="3"/>
  <c r="BF79" i="3"/>
  <c r="BF80" i="3"/>
  <c r="BF81" i="3"/>
  <c r="BF82" i="3"/>
  <c r="BF83" i="3"/>
  <c r="BF84" i="3"/>
  <c r="BF85" i="3"/>
  <c r="BF86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F99" i="3"/>
  <c r="BF100" i="3"/>
  <c r="BF101" i="3"/>
  <c r="BF102" i="3"/>
  <c r="BF103" i="3"/>
  <c r="BF104" i="3"/>
  <c r="BF105" i="3"/>
  <c r="BF106" i="3"/>
  <c r="BF107" i="3"/>
  <c r="BF108" i="3"/>
  <c r="BF109" i="3"/>
  <c r="BF110" i="3"/>
  <c r="BF111" i="3"/>
  <c r="BF112" i="3"/>
  <c r="BF113" i="3"/>
  <c r="BF114" i="3"/>
  <c r="BF115" i="3"/>
  <c r="BF116" i="3"/>
  <c r="BF117" i="3"/>
  <c r="BF118" i="3"/>
  <c r="BF119" i="3"/>
  <c r="BF120" i="3"/>
  <c r="BF121" i="3"/>
  <c r="BF122" i="3"/>
  <c r="BF123" i="3"/>
  <c r="BF124" i="3"/>
  <c r="BF125" i="3"/>
  <c r="BF126" i="3"/>
  <c r="BF127" i="3"/>
  <c r="BF128" i="3"/>
  <c r="BF129" i="3"/>
  <c r="BF130" i="3"/>
  <c r="BF131" i="3"/>
  <c r="BF132" i="3"/>
  <c r="BF133" i="3"/>
  <c r="BF134" i="3"/>
  <c r="BF135" i="3"/>
  <c r="BF136" i="3"/>
  <c r="BF137" i="3"/>
  <c r="BF138" i="3"/>
  <c r="BF139" i="3"/>
  <c r="BF140" i="3"/>
  <c r="BF141" i="3"/>
  <c r="BF142" i="3"/>
  <c r="BF143" i="3"/>
  <c r="BF144" i="3"/>
  <c r="BF145" i="3"/>
  <c r="BF146" i="3"/>
  <c r="BF147" i="3"/>
  <c r="BF148" i="3"/>
  <c r="BF149" i="3"/>
  <c r="BF150" i="3"/>
  <c r="BF151" i="3"/>
  <c r="BF152" i="3"/>
  <c r="BF153" i="3"/>
  <c r="BF154" i="3"/>
  <c r="BF155" i="3"/>
  <c r="BF156" i="3"/>
  <c r="BF157" i="3"/>
  <c r="BF158" i="3"/>
  <c r="BF159" i="3"/>
  <c r="BF160" i="3"/>
  <c r="BF161" i="3"/>
  <c r="BF162" i="3"/>
  <c r="BF163" i="3"/>
  <c r="BF164" i="3"/>
  <c r="BF165" i="3"/>
  <c r="BF166" i="3"/>
  <c r="BF167" i="3"/>
  <c r="BF168" i="3"/>
  <c r="BF169" i="3"/>
  <c r="BF170" i="3"/>
  <c r="BF171" i="3"/>
  <c r="BF172" i="3"/>
  <c r="BF173" i="3"/>
  <c r="BF174" i="3"/>
  <c r="BF175" i="3"/>
  <c r="BF176" i="3"/>
  <c r="BF177" i="3"/>
  <c r="BF178" i="3"/>
  <c r="BF179" i="3"/>
  <c r="BF180" i="3"/>
  <c r="BF181" i="3"/>
  <c r="BF182" i="3"/>
  <c r="BF183" i="3"/>
  <c r="BF184" i="3"/>
  <c r="BF185" i="3"/>
  <c r="BF186" i="3"/>
  <c r="BF187" i="3"/>
  <c r="BF188" i="3"/>
  <c r="BF189" i="3"/>
  <c r="BF190" i="3"/>
  <c r="BF191" i="3"/>
  <c r="BF192" i="3"/>
  <c r="BF193" i="3"/>
  <c r="BF194" i="3"/>
  <c r="BF195" i="3"/>
  <c r="BF196" i="3"/>
  <c r="BF197" i="3"/>
  <c r="BF198" i="3"/>
  <c r="BF199" i="3"/>
  <c r="BF200" i="3"/>
  <c r="BF201" i="3"/>
  <c r="BF202" i="3"/>
  <c r="BF3" i="3"/>
  <c r="BD4" i="3"/>
  <c r="BD5" i="3"/>
  <c r="BD6" i="3"/>
  <c r="BD7" i="3"/>
  <c r="BD8" i="3"/>
  <c r="BD9" i="3"/>
  <c r="BD10" i="3"/>
  <c r="BD11" i="3"/>
  <c r="BD12" i="3"/>
  <c r="BD13" i="3"/>
  <c r="BD14" i="3"/>
  <c r="BD15" i="3"/>
  <c r="BE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E99" i="3"/>
  <c r="BD100" i="3"/>
  <c r="BD101" i="3"/>
  <c r="BD102" i="3"/>
  <c r="BD103" i="3"/>
  <c r="BD104" i="3"/>
  <c r="BD105" i="3"/>
  <c r="BD106" i="3"/>
  <c r="BD107" i="3"/>
  <c r="BD108" i="3"/>
  <c r="BD109" i="3"/>
  <c r="BD110" i="3"/>
  <c r="BD111" i="3"/>
  <c r="BD112" i="3"/>
  <c r="BD113" i="3"/>
  <c r="BD114" i="3"/>
  <c r="BD115" i="3"/>
  <c r="BD116" i="3"/>
  <c r="BD117" i="3"/>
  <c r="BD118" i="3"/>
  <c r="BD119" i="3"/>
  <c r="BD120" i="3"/>
  <c r="BD121" i="3"/>
  <c r="BD122" i="3"/>
  <c r="BD123" i="3"/>
  <c r="BD124" i="3"/>
  <c r="BD125" i="3"/>
  <c r="BD126" i="3"/>
  <c r="BD127" i="3"/>
  <c r="BD128" i="3"/>
  <c r="BD129" i="3"/>
  <c r="BD130" i="3"/>
  <c r="BD131" i="3"/>
  <c r="BD132" i="3"/>
  <c r="BD133" i="3"/>
  <c r="BD134" i="3"/>
  <c r="BD135" i="3"/>
  <c r="BD136" i="3"/>
  <c r="BD137" i="3"/>
  <c r="BD138" i="3"/>
  <c r="BD139" i="3"/>
  <c r="BD140" i="3"/>
  <c r="BD141" i="3"/>
  <c r="BD142" i="3"/>
  <c r="BD143" i="3"/>
  <c r="BD144" i="3"/>
  <c r="BD145" i="3"/>
  <c r="BD146" i="3"/>
  <c r="BD147" i="3"/>
  <c r="BD148" i="3"/>
  <c r="BD149" i="3"/>
  <c r="BD150" i="3"/>
  <c r="BD151" i="3"/>
  <c r="BD152" i="3"/>
  <c r="BD153" i="3"/>
  <c r="BD154" i="3"/>
  <c r="BD155" i="3"/>
  <c r="BD156" i="3"/>
  <c r="BD157" i="3"/>
  <c r="BD158" i="3"/>
  <c r="BD159" i="3"/>
  <c r="BE159" i="3"/>
  <c r="BD160" i="3"/>
  <c r="BD161" i="3"/>
  <c r="BD162" i="3"/>
  <c r="BD163" i="3"/>
  <c r="BD164" i="3"/>
  <c r="BD165" i="3"/>
  <c r="BD166" i="3"/>
  <c r="BD167" i="3"/>
  <c r="BD168" i="3"/>
  <c r="BD169" i="3"/>
  <c r="BD170" i="3"/>
  <c r="BD171" i="3"/>
  <c r="BE171" i="3"/>
  <c r="BD172" i="3"/>
  <c r="BD173" i="3"/>
  <c r="BD174" i="3"/>
  <c r="BD175" i="3"/>
  <c r="BD176" i="3"/>
  <c r="BD177" i="3"/>
  <c r="BD178" i="3"/>
  <c r="BD179" i="3"/>
  <c r="BD180" i="3"/>
  <c r="BD181" i="3"/>
  <c r="BD182" i="3"/>
  <c r="BD183" i="3"/>
  <c r="BE183" i="3"/>
  <c r="BD184" i="3"/>
  <c r="BD185" i="3"/>
  <c r="BD186" i="3"/>
  <c r="BD187" i="3"/>
  <c r="BD188" i="3"/>
  <c r="BD189" i="3"/>
  <c r="BD190" i="3"/>
  <c r="BD191" i="3"/>
  <c r="BD192" i="3"/>
  <c r="BD193" i="3"/>
  <c r="BD194" i="3"/>
  <c r="BD195" i="3"/>
  <c r="BD196" i="3"/>
  <c r="BD197" i="3"/>
  <c r="BD198" i="3"/>
  <c r="BD199" i="3"/>
  <c r="BD200" i="3"/>
  <c r="BD201" i="3"/>
  <c r="BD202" i="3"/>
  <c r="BD3" i="3"/>
  <c r="BC181" i="3"/>
  <c r="BC182" i="3"/>
  <c r="BA191" i="3"/>
  <c r="BA192" i="3"/>
  <c r="AY109" i="3"/>
  <c r="AY110" i="3"/>
  <c r="AW25" i="3"/>
  <c r="AW26" i="3"/>
  <c r="AW55" i="3"/>
  <c r="AW56" i="3"/>
  <c r="AU17" i="3"/>
  <c r="AU18" i="3"/>
  <c r="AU67" i="3"/>
  <c r="AU68" i="3"/>
  <c r="AU105" i="3"/>
  <c r="AU106" i="3"/>
  <c r="AU131" i="3"/>
  <c r="AU132" i="3"/>
  <c r="AU191" i="3"/>
  <c r="AU192" i="3"/>
  <c r="AS113" i="3"/>
  <c r="AS114" i="3"/>
  <c r="AS123" i="3"/>
  <c r="AS124" i="3"/>
  <c r="AS131" i="3"/>
  <c r="AS132" i="3"/>
  <c r="AQ125" i="3"/>
  <c r="AQ126" i="3"/>
  <c r="AO111" i="3"/>
  <c r="AO112" i="3"/>
  <c r="AO125" i="3"/>
  <c r="AO126" i="3"/>
  <c r="AO127" i="3"/>
  <c r="AO128" i="3"/>
  <c r="AO185" i="3"/>
  <c r="AO186" i="3"/>
  <c r="AM5" i="3"/>
  <c r="AM6" i="3"/>
  <c r="AM29" i="3"/>
  <c r="AM30" i="3"/>
  <c r="AM31" i="3"/>
  <c r="AM32" i="3"/>
  <c r="AM119" i="3"/>
  <c r="AM120" i="3"/>
  <c r="AM125" i="3"/>
  <c r="AM126" i="3"/>
  <c r="AM131" i="3"/>
  <c r="AM132" i="3"/>
  <c r="AK5" i="3"/>
  <c r="AK6" i="3"/>
  <c r="AK65" i="3"/>
  <c r="AK66" i="3"/>
  <c r="AK67" i="3"/>
  <c r="AK68" i="3"/>
  <c r="AK85" i="3"/>
  <c r="AK86" i="3"/>
  <c r="AK93" i="3"/>
  <c r="AK94" i="3"/>
  <c r="AK125" i="3"/>
  <c r="AK126" i="3"/>
  <c r="AK127" i="3"/>
  <c r="AK128" i="3"/>
  <c r="AK131" i="3"/>
  <c r="AK132" i="3"/>
  <c r="AK165" i="3"/>
  <c r="AK166" i="3"/>
  <c r="AI11" i="3"/>
  <c r="AI12" i="3"/>
  <c r="AI53" i="3"/>
  <c r="AI54" i="3"/>
  <c r="AI55" i="3"/>
  <c r="AI56" i="3"/>
  <c r="AI59" i="3"/>
  <c r="AI60" i="3"/>
  <c r="AI85" i="3"/>
  <c r="AI86" i="3"/>
  <c r="AI103" i="3"/>
  <c r="AI104" i="3"/>
  <c r="AI113" i="3"/>
  <c r="AI114" i="3"/>
  <c r="AI115" i="3"/>
  <c r="AI116" i="3"/>
  <c r="AI123" i="3"/>
  <c r="AI124" i="3"/>
  <c r="AI125" i="3"/>
  <c r="AI126" i="3"/>
  <c r="AI127" i="3"/>
  <c r="AI128" i="3"/>
  <c r="AI131" i="3"/>
  <c r="AI132" i="3"/>
  <c r="AI177" i="3"/>
  <c r="AI178" i="3"/>
  <c r="AG25" i="3"/>
  <c r="AG26" i="3"/>
  <c r="AG31" i="3"/>
  <c r="AG32" i="3"/>
  <c r="AG75" i="3"/>
  <c r="AG76" i="3"/>
  <c r="AG87" i="3"/>
  <c r="AG88" i="3"/>
  <c r="AG105" i="3"/>
  <c r="AG106" i="3"/>
  <c r="AG109" i="3"/>
  <c r="AG110" i="3"/>
  <c r="AG111" i="3"/>
  <c r="AG112" i="3"/>
  <c r="AG113" i="3"/>
  <c r="AG114" i="3"/>
  <c r="AG115" i="3"/>
  <c r="AG116" i="3"/>
  <c r="AG123" i="3"/>
  <c r="AG124" i="3"/>
  <c r="AG125" i="3"/>
  <c r="AG126" i="3"/>
  <c r="AG127" i="3"/>
  <c r="AG128" i="3"/>
  <c r="AG129" i="3"/>
  <c r="AG130" i="3"/>
  <c r="AG131" i="3"/>
  <c r="AG132" i="3"/>
  <c r="AG151" i="3"/>
  <c r="AG152" i="3"/>
  <c r="AG165" i="3"/>
  <c r="AG166" i="3"/>
  <c r="AG193" i="3"/>
  <c r="AG194" i="3"/>
  <c r="AE4" i="3"/>
  <c r="AE37" i="3"/>
  <c r="AE38" i="3"/>
  <c r="AE61" i="3"/>
  <c r="AE62" i="3"/>
  <c r="AE119" i="3"/>
  <c r="AE120" i="3"/>
  <c r="AE125" i="3"/>
  <c r="AE126" i="3"/>
  <c r="AE127" i="3"/>
  <c r="AE128" i="3"/>
  <c r="AE131" i="3"/>
  <c r="AE132" i="3"/>
  <c r="AE141" i="3"/>
  <c r="AE142" i="3"/>
  <c r="AE157" i="3"/>
  <c r="AE158" i="3"/>
  <c r="AE3" i="3"/>
  <c r="AC81" i="3"/>
  <c r="AC82" i="3"/>
  <c r="AC103" i="3"/>
  <c r="AC104" i="3"/>
  <c r="AC111" i="3"/>
  <c r="AC112" i="3"/>
  <c r="AC113" i="3"/>
  <c r="AC114" i="3"/>
  <c r="AC115" i="3"/>
  <c r="AC116" i="3"/>
  <c r="AC121" i="3"/>
  <c r="AC122" i="3"/>
  <c r="AC123" i="3"/>
  <c r="AC124" i="3"/>
  <c r="AC125" i="3"/>
  <c r="AC126" i="3"/>
  <c r="AC127" i="3"/>
  <c r="AC128" i="3"/>
  <c r="AC131" i="3"/>
  <c r="AC132" i="3"/>
  <c r="AC143" i="3"/>
  <c r="AC144" i="3"/>
  <c r="AC155" i="3"/>
  <c r="AC156" i="3"/>
  <c r="AC161" i="3"/>
  <c r="AC162" i="3"/>
  <c r="AC173" i="3"/>
  <c r="AC174" i="3"/>
  <c r="AC181" i="3"/>
  <c r="AC182" i="3"/>
  <c r="AC187" i="3"/>
  <c r="AC188" i="3"/>
  <c r="AC191" i="3"/>
  <c r="AC192" i="3"/>
  <c r="AA11" i="3"/>
  <c r="AA12" i="3"/>
  <c r="AA35" i="3"/>
  <c r="AA36" i="3"/>
  <c r="AA53" i="3"/>
  <c r="AA54" i="3"/>
  <c r="AA65" i="3"/>
  <c r="AA66" i="3"/>
  <c r="AA67" i="3"/>
  <c r="AA68" i="3"/>
  <c r="AA69" i="3"/>
  <c r="AA70" i="3"/>
  <c r="AA81" i="3"/>
  <c r="AA82" i="3"/>
  <c r="AA93" i="3"/>
  <c r="AA94" i="3"/>
  <c r="AA97" i="3"/>
  <c r="AA98" i="3"/>
  <c r="AA103" i="3"/>
  <c r="AA104" i="3"/>
  <c r="AA105" i="3"/>
  <c r="AA106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55" i="3"/>
  <c r="AA156" i="3"/>
  <c r="AA165" i="3"/>
  <c r="AA166" i="3"/>
  <c r="AA167" i="3"/>
  <c r="AA168" i="3"/>
  <c r="AA171" i="3"/>
  <c r="AA172" i="3"/>
  <c r="AA173" i="3"/>
  <c r="AA174" i="3"/>
  <c r="AA175" i="3"/>
  <c r="AA176" i="3"/>
  <c r="AA177" i="3"/>
  <c r="AA178" i="3"/>
  <c r="AA181" i="3"/>
  <c r="AA182" i="3"/>
  <c r="AA185" i="3"/>
  <c r="AA186" i="3"/>
  <c r="AA187" i="3"/>
  <c r="AA188" i="3"/>
  <c r="AA191" i="3"/>
  <c r="AA192" i="3"/>
  <c r="Y4" i="3"/>
  <c r="Y11" i="3"/>
  <c r="Y12" i="3"/>
  <c r="Y25" i="3"/>
  <c r="Y26" i="3"/>
  <c r="Y29" i="3"/>
  <c r="Y30" i="3"/>
  <c r="Y31" i="3"/>
  <c r="Y32" i="3"/>
  <c r="Y49" i="3"/>
  <c r="Y50" i="3"/>
  <c r="Y53" i="3"/>
  <c r="Y54" i="3"/>
  <c r="Y57" i="3"/>
  <c r="Y58" i="3"/>
  <c r="Y59" i="3"/>
  <c r="Y60" i="3"/>
  <c r="Y61" i="3"/>
  <c r="Y62" i="3"/>
  <c r="Y67" i="3"/>
  <c r="Y68" i="3"/>
  <c r="Y69" i="3"/>
  <c r="Y70" i="3"/>
  <c r="Y77" i="3"/>
  <c r="Y78" i="3"/>
  <c r="Y89" i="3"/>
  <c r="Y90" i="3"/>
  <c r="Y103" i="3"/>
  <c r="Y104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7" i="3"/>
  <c r="Y138" i="3"/>
  <c r="Y143" i="3"/>
  <c r="Y144" i="3"/>
  <c r="Y149" i="3"/>
  <c r="Y150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73" i="3"/>
  <c r="Y174" i="3"/>
  <c r="Y179" i="3"/>
  <c r="Y180" i="3"/>
  <c r="Y181" i="3"/>
  <c r="Y182" i="3"/>
  <c r="Y189" i="3"/>
  <c r="Y190" i="3"/>
  <c r="Y3" i="3"/>
  <c r="W7" i="3"/>
  <c r="W8" i="3"/>
  <c r="W59" i="3"/>
  <c r="W60" i="3"/>
  <c r="W61" i="3"/>
  <c r="W6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7" i="3"/>
  <c r="W128" i="3"/>
  <c r="W129" i="3"/>
  <c r="W130" i="3"/>
  <c r="W131" i="3"/>
  <c r="W132" i="3"/>
  <c r="W135" i="3"/>
  <c r="W136" i="3"/>
  <c r="W137" i="3"/>
  <c r="W138" i="3"/>
  <c r="W143" i="3"/>
  <c r="W144" i="3"/>
  <c r="W155" i="3"/>
  <c r="W156" i="3"/>
  <c r="W163" i="3"/>
  <c r="W164" i="3"/>
  <c r="W165" i="3"/>
  <c r="W166" i="3"/>
  <c r="W167" i="3"/>
  <c r="W168" i="3"/>
  <c r="W169" i="3"/>
  <c r="W170" i="3"/>
  <c r="W173" i="3"/>
  <c r="W174" i="3"/>
  <c r="W175" i="3"/>
  <c r="W176" i="3"/>
  <c r="W177" i="3"/>
  <c r="W178" i="3"/>
  <c r="W179" i="3"/>
  <c r="W180" i="3"/>
  <c r="W181" i="3"/>
  <c r="W182" i="3"/>
  <c r="W185" i="3"/>
  <c r="W186" i="3"/>
  <c r="W187" i="3"/>
  <c r="W188" i="3"/>
  <c r="W189" i="3"/>
  <c r="W190" i="3"/>
  <c r="W191" i="3"/>
  <c r="W192" i="3"/>
  <c r="W201" i="3"/>
  <c r="W202" i="3"/>
  <c r="U4" i="3"/>
  <c r="U9" i="3"/>
  <c r="U10" i="3"/>
  <c r="U11" i="3"/>
  <c r="U12" i="3"/>
  <c r="U25" i="3"/>
  <c r="U26" i="3"/>
  <c r="U27" i="3"/>
  <c r="U28" i="3"/>
  <c r="U29" i="3"/>
  <c r="U30" i="3"/>
  <c r="U53" i="3"/>
  <c r="U54" i="3"/>
  <c r="U55" i="3"/>
  <c r="U56" i="3"/>
  <c r="U63" i="3"/>
  <c r="U64" i="3"/>
  <c r="U65" i="3"/>
  <c r="U66" i="3"/>
  <c r="U67" i="3"/>
  <c r="U68" i="3"/>
  <c r="U69" i="3"/>
  <c r="U70" i="3"/>
  <c r="U71" i="3"/>
  <c r="U72" i="3"/>
  <c r="U85" i="3"/>
  <c r="U86" i="3"/>
  <c r="U87" i="3"/>
  <c r="U88" i="3"/>
  <c r="U89" i="3"/>
  <c r="U90" i="3"/>
  <c r="U91" i="3"/>
  <c r="U92" i="3"/>
  <c r="U97" i="3"/>
  <c r="U98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7" i="3"/>
  <c r="U138" i="3"/>
  <c r="U139" i="3"/>
  <c r="U140" i="3"/>
  <c r="U141" i="3"/>
  <c r="U142" i="3"/>
  <c r="U145" i="3"/>
  <c r="U146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3" i="3"/>
  <c r="S7" i="3"/>
  <c r="S8" i="3"/>
  <c r="S9" i="3"/>
  <c r="S10" i="3"/>
  <c r="S23" i="3"/>
  <c r="S24" i="3"/>
  <c r="S25" i="3"/>
  <c r="S26" i="3"/>
  <c r="S27" i="3"/>
  <c r="S28" i="3"/>
  <c r="S29" i="3"/>
  <c r="S30" i="3"/>
  <c r="S31" i="3"/>
  <c r="S32" i="3"/>
  <c r="S35" i="3"/>
  <c r="S36" i="3"/>
  <c r="S37" i="3"/>
  <c r="S38" i="3"/>
  <c r="S47" i="3"/>
  <c r="S48" i="3"/>
  <c r="S53" i="3"/>
  <c r="S54" i="3"/>
  <c r="S55" i="3"/>
  <c r="S56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7" i="3"/>
  <c r="S78" i="3"/>
  <c r="S79" i="3"/>
  <c r="S80" i="3"/>
  <c r="S91" i="3"/>
  <c r="S92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5" i="3"/>
  <c r="S146" i="3"/>
  <c r="S147" i="3"/>
  <c r="S148" i="3"/>
  <c r="S149" i="3"/>
  <c r="S150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Q4" i="3"/>
  <c r="Q5" i="3"/>
  <c r="Q6" i="3"/>
  <c r="Q7" i="3"/>
  <c r="Q8" i="3"/>
  <c r="Q9" i="3"/>
  <c r="Q10" i="3"/>
  <c r="Q11" i="3"/>
  <c r="Q12" i="3"/>
  <c r="Q13" i="3"/>
  <c r="Q14" i="3"/>
  <c r="Q23" i="3"/>
  <c r="Q24" i="3"/>
  <c r="Q25" i="3"/>
  <c r="Q26" i="3"/>
  <c r="Q27" i="3"/>
  <c r="Q28" i="3"/>
  <c r="Q29" i="3"/>
  <c r="Q30" i="3"/>
  <c r="Q31" i="3"/>
  <c r="Q32" i="3"/>
  <c r="Q35" i="3"/>
  <c r="Q36" i="3"/>
  <c r="Q39" i="3"/>
  <c r="Q40" i="3"/>
  <c r="Q53" i="3"/>
  <c r="Q54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5" i="3"/>
  <c r="Q76" i="3"/>
  <c r="Q77" i="3"/>
  <c r="Q78" i="3"/>
  <c r="Q85" i="3"/>
  <c r="Q86" i="3"/>
  <c r="Q87" i="3"/>
  <c r="Q88" i="3"/>
  <c r="Q89" i="3"/>
  <c r="Q90" i="3"/>
  <c r="Q91" i="3"/>
  <c r="Q92" i="3"/>
  <c r="Q101" i="3"/>
  <c r="Q102" i="3"/>
  <c r="Q103" i="3"/>
  <c r="Q104" i="3"/>
  <c r="Q105" i="3"/>
  <c r="Q106" i="3"/>
  <c r="Q107" i="3"/>
  <c r="Q108" i="3"/>
  <c r="Q109" i="3"/>
  <c r="Q110" i="3"/>
  <c r="Q111" i="3"/>
  <c r="BE111" i="3" s="1"/>
  <c r="Q112" i="3"/>
  <c r="Q113" i="3"/>
  <c r="Q114" i="3"/>
  <c r="Q115" i="3"/>
  <c r="Q116" i="3"/>
  <c r="Q117" i="3"/>
  <c r="Q118" i="3"/>
  <c r="Q119" i="3"/>
  <c r="Q120" i="3"/>
  <c r="Q121" i="3"/>
  <c r="Q122" i="3"/>
  <c r="Q123" i="3"/>
  <c r="BE123" i="3" s="1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3" i="3"/>
  <c r="O4" i="3"/>
  <c r="O5" i="3"/>
  <c r="O6" i="3"/>
  <c r="O7" i="3"/>
  <c r="O8" i="3"/>
  <c r="O9" i="3"/>
  <c r="O10" i="3"/>
  <c r="O11" i="3"/>
  <c r="O12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5" i="3"/>
  <c r="O36" i="3"/>
  <c r="O37" i="3"/>
  <c r="O38" i="3"/>
  <c r="O39" i="3"/>
  <c r="O40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BE117" i="3" s="1"/>
  <c r="O118" i="3"/>
  <c r="O119" i="3"/>
  <c r="O120" i="3"/>
  <c r="O121" i="3"/>
  <c r="O122" i="3"/>
  <c r="O123" i="3"/>
  <c r="O124" i="3"/>
  <c r="O125" i="3"/>
  <c r="O126" i="3"/>
  <c r="O127" i="3"/>
  <c r="O128" i="3"/>
  <c r="O129" i="3"/>
  <c r="BE129" i="3" s="1"/>
  <c r="O130" i="3"/>
  <c r="O131" i="3"/>
  <c r="O132" i="3"/>
  <c r="O133" i="3"/>
  <c r="O134" i="3"/>
  <c r="O135" i="3"/>
  <c r="O136" i="3"/>
  <c r="O137" i="3"/>
  <c r="O138" i="3"/>
  <c r="O139" i="3"/>
  <c r="O140" i="3"/>
  <c r="O141" i="3"/>
  <c r="BE141" i="3" s="1"/>
  <c r="O142" i="3"/>
  <c r="O143" i="3"/>
  <c r="O144" i="3"/>
  <c r="O145" i="3"/>
  <c r="O146" i="3"/>
  <c r="O147" i="3"/>
  <c r="O148" i="3"/>
  <c r="O149" i="3"/>
  <c r="O150" i="3"/>
  <c r="O151" i="3"/>
  <c r="O152" i="3"/>
  <c r="O153" i="3"/>
  <c r="BE153" i="3" s="1"/>
  <c r="O154" i="3"/>
  <c r="O155" i="3"/>
  <c r="O156" i="3"/>
  <c r="O157" i="3"/>
  <c r="O158" i="3"/>
  <c r="O159" i="3"/>
  <c r="O160" i="3"/>
  <c r="O161" i="3"/>
  <c r="O162" i="3"/>
  <c r="O163" i="3"/>
  <c r="O164" i="3"/>
  <c r="O165" i="3"/>
  <c r="BE165" i="3" s="1"/>
  <c r="O166" i="3"/>
  <c r="O167" i="3"/>
  <c r="O168" i="3"/>
  <c r="O169" i="3"/>
  <c r="O170" i="3"/>
  <c r="O171" i="3"/>
  <c r="O172" i="3"/>
  <c r="O173" i="3"/>
  <c r="O174" i="3"/>
  <c r="O175" i="3"/>
  <c r="O176" i="3"/>
  <c r="O177" i="3"/>
  <c r="BE177" i="3" s="1"/>
  <c r="O178" i="3"/>
  <c r="O179" i="3"/>
  <c r="O180" i="3"/>
  <c r="O181" i="3"/>
  <c r="O182" i="3"/>
  <c r="O183" i="3"/>
  <c r="O184" i="3"/>
  <c r="O185" i="3"/>
  <c r="O186" i="3"/>
  <c r="O187" i="3"/>
  <c r="O188" i="3"/>
  <c r="O189" i="3"/>
  <c r="BE189" i="3" s="1"/>
  <c r="O190" i="3"/>
  <c r="O191" i="3"/>
  <c r="O192" i="3"/>
  <c r="O193" i="3"/>
  <c r="O194" i="3"/>
  <c r="O195" i="3"/>
  <c r="O196" i="3"/>
  <c r="O197" i="3"/>
  <c r="O198" i="3"/>
  <c r="O199" i="3"/>
  <c r="O200" i="3"/>
  <c r="O201" i="3"/>
  <c r="BE201" i="3" s="1"/>
  <c r="O202" i="3"/>
  <c r="O3" i="3"/>
  <c r="M4" i="3"/>
  <c r="M5" i="3"/>
  <c r="M6" i="3"/>
  <c r="M7" i="3"/>
  <c r="M8" i="3"/>
  <c r="M9" i="3"/>
  <c r="M10" i="3"/>
  <c r="M11" i="3"/>
  <c r="M12" i="3"/>
  <c r="M13" i="3"/>
  <c r="M14" i="3"/>
  <c r="M17" i="3"/>
  <c r="M18" i="3"/>
  <c r="M19" i="3"/>
  <c r="M20" i="3"/>
  <c r="M21" i="3"/>
  <c r="M22" i="3"/>
  <c r="M23" i="3"/>
  <c r="M24" i="3"/>
  <c r="M25" i="3"/>
  <c r="M26" i="3"/>
  <c r="M27" i="3"/>
  <c r="BE27" i="3" s="1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BE51" i="3" s="1"/>
  <c r="M52" i="3"/>
  <c r="M53" i="3"/>
  <c r="M54" i="3"/>
  <c r="M55" i="3"/>
  <c r="M56" i="3"/>
  <c r="M57" i="3"/>
  <c r="M58" i="3"/>
  <c r="M59" i="3"/>
  <c r="M60" i="3"/>
  <c r="M61" i="3"/>
  <c r="M62" i="3"/>
  <c r="M63" i="3"/>
  <c r="BE63" i="3" s="1"/>
  <c r="M64" i="3"/>
  <c r="M65" i="3"/>
  <c r="M66" i="3"/>
  <c r="M67" i="3"/>
  <c r="M68" i="3"/>
  <c r="M69" i="3"/>
  <c r="M70" i="3"/>
  <c r="M71" i="3"/>
  <c r="M72" i="3"/>
  <c r="M73" i="3"/>
  <c r="M74" i="3"/>
  <c r="M75" i="3"/>
  <c r="BE75" i="3" s="1"/>
  <c r="M76" i="3"/>
  <c r="M77" i="3"/>
  <c r="M78" i="3"/>
  <c r="M79" i="3"/>
  <c r="M80" i="3"/>
  <c r="M81" i="3"/>
  <c r="M82" i="3"/>
  <c r="M83" i="3"/>
  <c r="M84" i="3"/>
  <c r="M85" i="3"/>
  <c r="M86" i="3"/>
  <c r="M87" i="3"/>
  <c r="BE87" i="3" s="1"/>
  <c r="M88" i="3"/>
  <c r="M89" i="3"/>
  <c r="M90" i="3"/>
  <c r="M91" i="3"/>
  <c r="M92" i="3"/>
  <c r="M93" i="3"/>
  <c r="M94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BE125" i="3" s="1"/>
  <c r="M126" i="3"/>
  <c r="BE126" i="3" s="1"/>
  <c r="M127" i="3"/>
  <c r="M128" i="3"/>
  <c r="M129" i="3"/>
  <c r="M130" i="3"/>
  <c r="BE130" i="3" s="1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BE173" i="3" s="1"/>
  <c r="M174" i="3"/>
  <c r="BE174" i="3" s="1"/>
  <c r="M175" i="3"/>
  <c r="M176" i="3"/>
  <c r="M177" i="3"/>
  <c r="M178" i="3"/>
  <c r="BE178" i="3" s="1"/>
  <c r="M179" i="3"/>
  <c r="BE179" i="3" s="1"/>
  <c r="M180" i="3"/>
  <c r="BE180" i="3" s="1"/>
  <c r="M181" i="3"/>
  <c r="BE181" i="3" s="1"/>
  <c r="M182" i="3"/>
  <c r="BE182" i="3" s="1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3" i="3"/>
  <c r="K4" i="3"/>
  <c r="K5" i="3"/>
  <c r="K6" i="3"/>
  <c r="K7" i="3"/>
  <c r="K8" i="3"/>
  <c r="K9" i="3"/>
  <c r="BE9" i="3" s="1"/>
  <c r="K10" i="3"/>
  <c r="K11" i="3"/>
  <c r="K12" i="3"/>
  <c r="K13" i="3"/>
  <c r="K14" i="3"/>
  <c r="K15" i="3"/>
  <c r="K16" i="3"/>
  <c r="K17" i="3"/>
  <c r="K18" i="3"/>
  <c r="K19" i="3"/>
  <c r="K20" i="3"/>
  <c r="K21" i="3"/>
  <c r="BE21" i="3" s="1"/>
  <c r="K22" i="3"/>
  <c r="K23" i="3"/>
  <c r="K24" i="3"/>
  <c r="K25" i="3"/>
  <c r="K26" i="3"/>
  <c r="K27" i="3"/>
  <c r="K28" i="3"/>
  <c r="K29" i="3"/>
  <c r="K30" i="3"/>
  <c r="K31" i="3"/>
  <c r="K32" i="3"/>
  <c r="K33" i="3"/>
  <c r="BE33" i="3" s="1"/>
  <c r="K34" i="3"/>
  <c r="K35" i="3"/>
  <c r="K36" i="3"/>
  <c r="K37" i="3"/>
  <c r="K38" i="3"/>
  <c r="K39" i="3"/>
  <c r="K40" i="3"/>
  <c r="K41" i="3"/>
  <c r="K42" i="3"/>
  <c r="K43" i="3"/>
  <c r="K44" i="3"/>
  <c r="K45" i="3"/>
  <c r="BE45" i="3" s="1"/>
  <c r="K46" i="3"/>
  <c r="K47" i="3"/>
  <c r="K48" i="3"/>
  <c r="K49" i="3"/>
  <c r="K50" i="3"/>
  <c r="K51" i="3"/>
  <c r="K52" i="3"/>
  <c r="K53" i="3"/>
  <c r="K54" i="3"/>
  <c r="K55" i="3"/>
  <c r="K56" i="3"/>
  <c r="K57" i="3"/>
  <c r="BE57" i="3" s="1"/>
  <c r="K58" i="3"/>
  <c r="K59" i="3"/>
  <c r="K60" i="3"/>
  <c r="K61" i="3"/>
  <c r="K62" i="3"/>
  <c r="K63" i="3"/>
  <c r="K64" i="3"/>
  <c r="K65" i="3"/>
  <c r="K66" i="3"/>
  <c r="K67" i="3"/>
  <c r="K68" i="3"/>
  <c r="K69" i="3"/>
  <c r="BE69" i="3" s="1"/>
  <c r="K70" i="3"/>
  <c r="K71" i="3"/>
  <c r="K72" i="3"/>
  <c r="K73" i="3"/>
  <c r="K74" i="3"/>
  <c r="K75" i="3"/>
  <c r="K76" i="3"/>
  <c r="K77" i="3"/>
  <c r="K78" i="3"/>
  <c r="K79" i="3"/>
  <c r="K80" i="3"/>
  <c r="K81" i="3"/>
  <c r="BE81" i="3" s="1"/>
  <c r="K82" i="3"/>
  <c r="K83" i="3"/>
  <c r="K84" i="3"/>
  <c r="K85" i="3"/>
  <c r="K86" i="3"/>
  <c r="K87" i="3"/>
  <c r="K88" i="3"/>
  <c r="K89" i="3"/>
  <c r="K90" i="3"/>
  <c r="K91" i="3"/>
  <c r="K92" i="3"/>
  <c r="K93" i="3"/>
  <c r="BE93" i="3" s="1"/>
  <c r="K94" i="3"/>
  <c r="K95" i="3"/>
  <c r="K96" i="3"/>
  <c r="K97" i="3"/>
  <c r="K98" i="3"/>
  <c r="K99" i="3"/>
  <c r="K100" i="3"/>
  <c r="K101" i="3"/>
  <c r="K102" i="3"/>
  <c r="K103" i="3"/>
  <c r="K104" i="3"/>
  <c r="K105" i="3"/>
  <c r="BE105" i="3" s="1"/>
  <c r="K106" i="3"/>
  <c r="K107" i="3"/>
  <c r="K108" i="3"/>
  <c r="K109" i="3"/>
  <c r="K110" i="3"/>
  <c r="K111" i="3"/>
  <c r="K112" i="3"/>
  <c r="K115" i="3"/>
  <c r="K116" i="3"/>
  <c r="K117" i="3"/>
  <c r="K118" i="3"/>
  <c r="K119" i="3"/>
  <c r="K120" i="3"/>
  <c r="K121" i="3"/>
  <c r="K122" i="3"/>
  <c r="K123" i="3"/>
  <c r="K124" i="3"/>
  <c r="BE124" i="3" s="1"/>
  <c r="K127" i="3"/>
  <c r="BE127" i="3" s="1"/>
  <c r="K128" i="3"/>
  <c r="BE128" i="3" s="1"/>
  <c r="K131" i="3"/>
  <c r="BE131" i="3" s="1"/>
  <c r="K132" i="3"/>
  <c r="BE132" i="3" s="1"/>
  <c r="K133" i="3"/>
  <c r="K134" i="3"/>
  <c r="K135" i="3"/>
  <c r="BE135" i="3" s="1"/>
  <c r="K136" i="3"/>
  <c r="K137" i="3"/>
  <c r="K138" i="3"/>
  <c r="K139" i="3"/>
  <c r="K140" i="3"/>
  <c r="K141" i="3"/>
  <c r="K142" i="3"/>
  <c r="K143" i="3"/>
  <c r="BE143" i="3" s="1"/>
  <c r="K144" i="3"/>
  <c r="BE144" i="3" s="1"/>
  <c r="K145" i="3"/>
  <c r="BE145" i="3" s="1"/>
  <c r="K146" i="3"/>
  <c r="BE146" i="3" s="1"/>
  <c r="K147" i="3"/>
  <c r="BE147" i="3" s="1"/>
  <c r="K148" i="3"/>
  <c r="K149" i="3"/>
  <c r="K150" i="3"/>
  <c r="K151" i="3"/>
  <c r="K152" i="3"/>
  <c r="K153" i="3"/>
  <c r="K154" i="3"/>
  <c r="K157" i="3"/>
  <c r="BE157" i="3" s="1"/>
  <c r="K158" i="3"/>
  <c r="BE158" i="3" s="1"/>
  <c r="K159" i="3"/>
  <c r="K160" i="3"/>
  <c r="BE160" i="3" s="1"/>
  <c r="K161" i="3"/>
  <c r="BE161" i="3" s="1"/>
  <c r="K162" i="3"/>
  <c r="BE162" i="3" s="1"/>
  <c r="K163" i="3"/>
  <c r="BE163" i="3" s="1"/>
  <c r="K164" i="3"/>
  <c r="BE164" i="3" s="1"/>
  <c r="K165" i="3"/>
  <c r="K166" i="3"/>
  <c r="K167" i="3"/>
  <c r="BE167" i="3" s="1"/>
  <c r="K168" i="3"/>
  <c r="BE168" i="3" s="1"/>
  <c r="K169" i="3"/>
  <c r="BE169" i="3" s="1"/>
  <c r="K170" i="3"/>
  <c r="BE170" i="3" s="1"/>
  <c r="K171" i="3"/>
  <c r="K172" i="3"/>
  <c r="BE172" i="3" s="1"/>
  <c r="K175" i="3"/>
  <c r="BE175" i="3" s="1"/>
  <c r="K176" i="3"/>
  <c r="BE176" i="3" s="1"/>
  <c r="K183" i="3"/>
  <c r="K184" i="3"/>
  <c r="BE184" i="3" s="1"/>
  <c r="K185" i="3"/>
  <c r="BE185" i="3" s="1"/>
  <c r="K186" i="3"/>
  <c r="BE186" i="3" s="1"/>
  <c r="K189" i="3"/>
  <c r="K190" i="3"/>
  <c r="BE190" i="3" s="1"/>
  <c r="K191" i="3"/>
  <c r="K192" i="3"/>
  <c r="K193" i="3"/>
  <c r="K194" i="3"/>
  <c r="K195" i="3"/>
  <c r="BE195" i="3" s="1"/>
  <c r="K196" i="3"/>
  <c r="K197" i="3"/>
  <c r="K198" i="3"/>
  <c r="K199" i="3"/>
  <c r="K200" i="3"/>
  <c r="K201" i="3"/>
  <c r="K202" i="3"/>
  <c r="K3" i="3"/>
  <c r="I4" i="3"/>
  <c r="I5" i="3"/>
  <c r="I6" i="3"/>
  <c r="I7" i="3"/>
  <c r="BE7" i="3" s="1"/>
  <c r="I8" i="3"/>
  <c r="BE8" i="3" s="1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BE23" i="3" s="1"/>
  <c r="I24" i="3"/>
  <c r="BE24" i="3" s="1"/>
  <c r="I25" i="3"/>
  <c r="I26" i="3"/>
  <c r="I27" i="3"/>
  <c r="I28" i="3"/>
  <c r="I29" i="3"/>
  <c r="BE29" i="3" s="1"/>
  <c r="I30" i="3"/>
  <c r="BE30" i="3" s="1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BE47" i="3" s="1"/>
  <c r="I48" i="3"/>
  <c r="BE48" i="3" s="1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BE61" i="3" s="1"/>
  <c r="I62" i="3"/>
  <c r="BE62" i="3" s="1"/>
  <c r="I63" i="3"/>
  <c r="I64" i="3"/>
  <c r="I65" i="3"/>
  <c r="I66" i="3"/>
  <c r="I67" i="3"/>
  <c r="BE67" i="3" s="1"/>
  <c r="I68" i="3"/>
  <c r="BE68" i="3" s="1"/>
  <c r="I69" i="3"/>
  <c r="I70" i="3"/>
  <c r="I71" i="3"/>
  <c r="BE71" i="3" s="1"/>
  <c r="I72" i="3"/>
  <c r="BE72" i="3" s="1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BE91" i="3" s="1"/>
  <c r="I92" i="3"/>
  <c r="BE92" i="3" s="1"/>
  <c r="I93" i="3"/>
  <c r="I94" i="3"/>
  <c r="I95" i="3"/>
  <c r="I96" i="3"/>
  <c r="I97" i="3"/>
  <c r="I98" i="3"/>
  <c r="I99" i="3"/>
  <c r="I100" i="3"/>
  <c r="I101" i="3"/>
  <c r="I102" i="3"/>
  <c r="I103" i="3"/>
  <c r="BE103" i="3" s="1"/>
  <c r="I104" i="3"/>
  <c r="BE104" i="3" s="1"/>
  <c r="I105" i="3"/>
  <c r="I106" i="3"/>
  <c r="BE106" i="3" s="1"/>
  <c r="I107" i="3"/>
  <c r="BE107" i="3" s="1"/>
  <c r="I108" i="3"/>
  <c r="BE108" i="3" s="1"/>
  <c r="I109" i="3"/>
  <c r="BE109" i="3" s="1"/>
  <c r="I110" i="3"/>
  <c r="BE110" i="3" s="1"/>
  <c r="I111" i="3"/>
  <c r="I112" i="3"/>
  <c r="BE112" i="3" s="1"/>
  <c r="I113" i="3"/>
  <c r="BE113" i="3" s="1"/>
  <c r="I114" i="3"/>
  <c r="BE114" i="3" s="1"/>
  <c r="I115" i="3"/>
  <c r="BE115" i="3" s="1"/>
  <c r="I116" i="3"/>
  <c r="BE116" i="3" s="1"/>
  <c r="I117" i="3"/>
  <c r="I118" i="3"/>
  <c r="BE118" i="3" s="1"/>
  <c r="I119" i="3"/>
  <c r="BE119" i="3" s="1"/>
  <c r="I120" i="3"/>
  <c r="BE120" i="3" s="1"/>
  <c r="I121" i="3"/>
  <c r="BE121" i="3" s="1"/>
  <c r="I122" i="3"/>
  <c r="BE122" i="3" s="1"/>
  <c r="I123" i="3"/>
  <c r="I133" i="3"/>
  <c r="BE133" i="3" s="1"/>
  <c r="I134" i="3"/>
  <c r="BE134" i="3" s="1"/>
  <c r="I135" i="3"/>
  <c r="I136" i="3"/>
  <c r="BE136" i="3" s="1"/>
  <c r="I137" i="3"/>
  <c r="BE137" i="3" s="1"/>
  <c r="I138" i="3"/>
  <c r="BE138" i="3" s="1"/>
  <c r="I139" i="3"/>
  <c r="BE139" i="3" s="1"/>
  <c r="I140" i="3"/>
  <c r="BE140" i="3" s="1"/>
  <c r="I141" i="3"/>
  <c r="I142" i="3"/>
  <c r="BE142" i="3" s="1"/>
  <c r="I147" i="3"/>
  <c r="I148" i="3"/>
  <c r="BE148" i="3" s="1"/>
  <c r="I149" i="3"/>
  <c r="BE149" i="3" s="1"/>
  <c r="I150" i="3"/>
  <c r="BE150" i="3" s="1"/>
  <c r="I151" i="3"/>
  <c r="BE151" i="3" s="1"/>
  <c r="I152" i="3"/>
  <c r="BE152" i="3" s="1"/>
  <c r="I153" i="3"/>
  <c r="I154" i="3"/>
  <c r="BE154" i="3" s="1"/>
  <c r="I155" i="3"/>
  <c r="BE155" i="3" s="1"/>
  <c r="I156" i="3"/>
  <c r="BE156" i="3" s="1"/>
  <c r="I165" i="3"/>
  <c r="I166" i="3"/>
  <c r="BE166" i="3" s="1"/>
  <c r="I187" i="3"/>
  <c r="BE187" i="3" s="1"/>
  <c r="I188" i="3"/>
  <c r="BE188" i="3" s="1"/>
  <c r="I191" i="3"/>
  <c r="BE191" i="3" s="1"/>
  <c r="I192" i="3"/>
  <c r="BE192" i="3" s="1"/>
  <c r="I193" i="3"/>
  <c r="BE193" i="3" s="1"/>
  <c r="I194" i="3"/>
  <c r="BE194" i="3" s="1"/>
  <c r="I195" i="3"/>
  <c r="I196" i="3"/>
  <c r="BE196" i="3" s="1"/>
  <c r="I197" i="3"/>
  <c r="BE197" i="3" s="1"/>
  <c r="I198" i="3"/>
  <c r="BE198" i="3" s="1"/>
  <c r="I199" i="3"/>
  <c r="BE199" i="3" s="1"/>
  <c r="I200" i="3"/>
  <c r="BE200" i="3" s="1"/>
  <c r="I201" i="3"/>
  <c r="I202" i="3"/>
  <c r="BE202" i="3" s="1"/>
  <c r="I3" i="3"/>
  <c r="G4" i="3"/>
  <c r="BE4" i="3" s="1"/>
  <c r="G5" i="3"/>
  <c r="BE5" i="3" s="1"/>
  <c r="G6" i="3"/>
  <c r="BE6" i="3" s="1"/>
  <c r="G9" i="3"/>
  <c r="G10" i="3"/>
  <c r="BE10" i="3" s="1"/>
  <c r="G11" i="3"/>
  <c r="BE11" i="3" s="1"/>
  <c r="G12" i="3"/>
  <c r="BE12" i="3" s="1"/>
  <c r="G13" i="3"/>
  <c r="BE13" i="3" s="1"/>
  <c r="G14" i="3"/>
  <c r="BE14" i="3" s="1"/>
  <c r="G15" i="3"/>
  <c r="G16" i="3"/>
  <c r="BE16" i="3" s="1"/>
  <c r="G17" i="3"/>
  <c r="BE17" i="3" s="1"/>
  <c r="G18" i="3"/>
  <c r="BE18" i="3" s="1"/>
  <c r="G19" i="3"/>
  <c r="BE19" i="3" s="1"/>
  <c r="G20" i="3"/>
  <c r="BE20" i="3" s="1"/>
  <c r="G21" i="3"/>
  <c r="G22" i="3"/>
  <c r="BE22" i="3" s="1"/>
  <c r="G25" i="3"/>
  <c r="BE25" i="3" s="1"/>
  <c r="G26" i="3"/>
  <c r="BE26" i="3" s="1"/>
  <c r="G27" i="3"/>
  <c r="G28" i="3"/>
  <c r="BE28" i="3" s="1"/>
  <c r="G31" i="3"/>
  <c r="BE31" i="3" s="1"/>
  <c r="G32" i="3"/>
  <c r="BE32" i="3" s="1"/>
  <c r="G33" i="3"/>
  <c r="G34" i="3"/>
  <c r="BE34" i="3" s="1"/>
  <c r="G35" i="3"/>
  <c r="BE35" i="3" s="1"/>
  <c r="G36" i="3"/>
  <c r="BE36" i="3" s="1"/>
  <c r="G37" i="3"/>
  <c r="BE37" i="3" s="1"/>
  <c r="G38" i="3"/>
  <c r="BE38" i="3" s="1"/>
  <c r="G39" i="3"/>
  <c r="BE39" i="3" s="1"/>
  <c r="G40" i="3"/>
  <c r="BE40" i="3" s="1"/>
  <c r="G41" i="3"/>
  <c r="BE41" i="3" s="1"/>
  <c r="G42" i="3"/>
  <c r="BE42" i="3" s="1"/>
  <c r="G43" i="3"/>
  <c r="BE43" i="3" s="1"/>
  <c r="G44" i="3"/>
  <c r="BE44" i="3" s="1"/>
  <c r="G45" i="3"/>
  <c r="G46" i="3"/>
  <c r="BE46" i="3" s="1"/>
  <c r="G49" i="3"/>
  <c r="BE49" i="3" s="1"/>
  <c r="G50" i="3"/>
  <c r="BE50" i="3" s="1"/>
  <c r="G51" i="3"/>
  <c r="G52" i="3"/>
  <c r="BE52" i="3" s="1"/>
  <c r="G53" i="3"/>
  <c r="BE53" i="3" s="1"/>
  <c r="G54" i="3"/>
  <c r="BE54" i="3" s="1"/>
  <c r="G55" i="3"/>
  <c r="BE55" i="3" s="1"/>
  <c r="G56" i="3"/>
  <c r="BE56" i="3" s="1"/>
  <c r="G57" i="3"/>
  <c r="G58" i="3"/>
  <c r="BE58" i="3" s="1"/>
  <c r="G59" i="3"/>
  <c r="BE59" i="3" s="1"/>
  <c r="G60" i="3"/>
  <c r="BE60" i="3" s="1"/>
  <c r="G63" i="3"/>
  <c r="G64" i="3"/>
  <c r="BE64" i="3" s="1"/>
  <c r="G65" i="3"/>
  <c r="BE65" i="3" s="1"/>
  <c r="G66" i="3"/>
  <c r="BE66" i="3" s="1"/>
  <c r="G69" i="3"/>
  <c r="G70" i="3"/>
  <c r="BE70" i="3" s="1"/>
  <c r="G73" i="3"/>
  <c r="BE73" i="3" s="1"/>
  <c r="G74" i="3"/>
  <c r="BE74" i="3" s="1"/>
  <c r="G75" i="3"/>
  <c r="G76" i="3"/>
  <c r="BE76" i="3" s="1"/>
  <c r="G77" i="3"/>
  <c r="BE77" i="3" s="1"/>
  <c r="G78" i="3"/>
  <c r="BE78" i="3" s="1"/>
  <c r="G79" i="3"/>
  <c r="BE79" i="3" s="1"/>
  <c r="G80" i="3"/>
  <c r="BE80" i="3" s="1"/>
  <c r="G81" i="3"/>
  <c r="G82" i="3"/>
  <c r="BE82" i="3" s="1"/>
  <c r="G83" i="3"/>
  <c r="BE83" i="3" s="1"/>
  <c r="G84" i="3"/>
  <c r="BE84" i="3" s="1"/>
  <c r="G85" i="3"/>
  <c r="BE85" i="3" s="1"/>
  <c r="G86" i="3"/>
  <c r="BE86" i="3" s="1"/>
  <c r="G87" i="3"/>
  <c r="G88" i="3"/>
  <c r="BE88" i="3" s="1"/>
  <c r="G89" i="3"/>
  <c r="BE89" i="3" s="1"/>
  <c r="G90" i="3"/>
  <c r="BE90" i="3" s="1"/>
  <c r="G93" i="3"/>
  <c r="G94" i="3"/>
  <c r="BE94" i="3" s="1"/>
  <c r="G95" i="3"/>
  <c r="BE95" i="3" s="1"/>
  <c r="G96" i="3"/>
  <c r="BE96" i="3" s="1"/>
  <c r="G97" i="3"/>
  <c r="BE97" i="3" s="1"/>
  <c r="G98" i="3"/>
  <c r="BE98" i="3" s="1"/>
  <c r="G99" i="3"/>
  <c r="G100" i="3"/>
  <c r="BE100" i="3" s="1"/>
  <c r="G101" i="3"/>
  <c r="BE101" i="3" s="1"/>
  <c r="G102" i="3"/>
  <c r="BE102" i="3" s="1"/>
  <c r="G3" i="3"/>
  <c r="BE3" i="3" s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E1" i="1"/>
</calcChain>
</file>

<file path=xl/sharedStrings.xml><?xml version="1.0" encoding="utf-8"?>
<sst xmlns="http://schemas.openxmlformats.org/spreadsheetml/2006/main" count="12642" uniqueCount="107">
  <si>
    <t>Population</t>
  </si>
  <si>
    <t>Vial #</t>
  </si>
  <si>
    <t>Notes</t>
  </si>
  <si>
    <t>CB1</t>
  </si>
  <si>
    <t>A</t>
  </si>
  <si>
    <t>B</t>
  </si>
  <si>
    <t>C</t>
  </si>
  <si>
    <t>D</t>
  </si>
  <si>
    <t>E</t>
  </si>
  <si>
    <t>CB2</t>
  </si>
  <si>
    <t>CB3</t>
  </si>
  <si>
    <t>CB4</t>
  </si>
  <si>
    <t>CB5</t>
  </si>
  <si>
    <t>CBO1</t>
  </si>
  <si>
    <t>CBO2</t>
  </si>
  <si>
    <t>CBO3</t>
  </si>
  <si>
    <t>CBO4</t>
  </si>
  <si>
    <t>CBO5</t>
  </si>
  <si>
    <t>EB1</t>
  </si>
  <si>
    <t>EB2</t>
  </si>
  <si>
    <t>EB3</t>
  </si>
  <si>
    <t>EB4</t>
  </si>
  <si>
    <t>EB5</t>
  </si>
  <si>
    <t>EBO1</t>
  </si>
  <si>
    <t>EBO2</t>
  </si>
  <si>
    <t>EBO3</t>
  </si>
  <si>
    <t>EBO4</t>
  </si>
  <si>
    <t>EBO5</t>
  </si>
  <si>
    <t>Sex</t>
  </si>
  <si>
    <t>M</t>
  </si>
  <si>
    <t>F</t>
  </si>
  <si>
    <t>3/13/20 6pm</t>
  </si>
  <si>
    <t>1 pupae in vial</t>
  </si>
  <si>
    <t>NA</t>
  </si>
  <si>
    <t>3/13/20 12am</t>
  </si>
  <si>
    <t>3/13/20 6am</t>
  </si>
  <si>
    <t>3/13/20 6am: 1 pupae</t>
  </si>
  <si>
    <t>3/13/20 12am: "EBO4" missing letter vial had 1 M and 1 pupae</t>
  </si>
  <si>
    <t>3/13/20 12pm</t>
  </si>
  <si>
    <t>3/12/20 6am</t>
  </si>
  <si>
    <t>3/12/20 12am</t>
  </si>
  <si>
    <t>3/12/20 12am there are two vials labeled EB3A. The second one has: 15m and 12f</t>
  </si>
  <si>
    <t>3/12/20 12pm</t>
  </si>
  <si>
    <t>3/12/20 12pm, two vials labelled EB4A. One of them was empty.</t>
  </si>
  <si>
    <t>3/12/20 6pm</t>
  </si>
  <si>
    <t>3/12/20 6pm 1 cannot be sexed.</t>
  </si>
  <si>
    <t>3/16/20 6am</t>
  </si>
  <si>
    <t>3/15/20 6am</t>
  </si>
  <si>
    <t>3/11/20 12am</t>
  </si>
  <si>
    <t>3/17/20 12pm</t>
  </si>
  <si>
    <t xml:space="preserve">3/17/20 12pm 1 can't be sexed. </t>
  </si>
  <si>
    <t>3/11/20 12am 1 not sexable.</t>
  </si>
  <si>
    <t>3/14/20 12pm</t>
  </si>
  <si>
    <t xml:space="preserve">3/14/20 12pm 1 vial labelled CBOE (without replicate number) and has 1 m. </t>
  </si>
  <si>
    <t>3/14/20 6pm</t>
  </si>
  <si>
    <t xml:space="preserve">3/14/20 6pm 1 vial labelled EBOE without replicate number, has 1 f. </t>
  </si>
  <si>
    <t>3/14/20 6am</t>
  </si>
  <si>
    <t>3/15/20 12am</t>
  </si>
  <si>
    <t>3/14/20 12am</t>
  </si>
  <si>
    <t>3/16/20 6pm</t>
  </si>
  <si>
    <t>3/9/20 6pm</t>
  </si>
  <si>
    <t>3/10/20 12am</t>
  </si>
  <si>
    <t>3/10/20 6am</t>
  </si>
  <si>
    <t xml:space="preserve">3/10/20 12am 1 unknown sex. </t>
  </si>
  <si>
    <t>3/11/2020 12am one vial labelled "CBU1" has 0M and 5F, one vial labelled CB U2 has 1M and 6F</t>
  </si>
  <si>
    <t>3/11/20 6am</t>
  </si>
  <si>
    <t>3/11/20 12pm</t>
  </si>
  <si>
    <t>3/11/20 12pm 1 not sexable</t>
  </si>
  <si>
    <t xml:space="preserve">3/11/20 6am 1 fly cant be sexed, 3/11/20 12pm 1 cant be sexed. </t>
  </si>
  <si>
    <t>3/10/20 6pm</t>
  </si>
  <si>
    <t>3/10/20 6pm 1 not sexable</t>
  </si>
  <si>
    <t>3/10/20 12pm</t>
  </si>
  <si>
    <t xml:space="preserve">3/10/20 6PM 2 vials labelled cb1b, the second has 14m, 8f. </t>
  </si>
  <si>
    <t xml:space="preserve">3/10/20 6PM 2 vials labelled ebo5b, the second has 10m, 11f. </t>
  </si>
  <si>
    <t>3/11/20 6pm</t>
  </si>
  <si>
    <t xml:space="preserve">3/11/20 6pm one vial with no population name had 5m, 1f. </t>
  </si>
  <si>
    <t>Start time: 3/2/20 3pm-6pm</t>
  </si>
  <si>
    <t>total flies</t>
  </si>
  <si>
    <t>total time to develop</t>
  </si>
  <si>
    <t>average development time</t>
  </si>
  <si>
    <t>F-error</t>
  </si>
  <si>
    <t>M-error</t>
  </si>
  <si>
    <t>CBO1-5:F</t>
  </si>
  <si>
    <t>CB1-5:F</t>
  </si>
  <si>
    <t>EB1-5:F</t>
  </si>
  <si>
    <t>EBO1-5:F</t>
  </si>
  <si>
    <t>New O types</t>
  </si>
  <si>
    <t>New B types</t>
  </si>
  <si>
    <t>Female</t>
  </si>
  <si>
    <t>OB1</t>
  </si>
  <si>
    <t>OB2</t>
  </si>
  <si>
    <t>OB3</t>
  </si>
  <si>
    <t>OB4</t>
  </si>
  <si>
    <t>OB5</t>
  </si>
  <si>
    <t>OBO1</t>
  </si>
  <si>
    <t>OBO2</t>
  </si>
  <si>
    <t>OBO3</t>
  </si>
  <si>
    <t>OBO4</t>
  </si>
  <si>
    <t>OBO5</t>
  </si>
  <si>
    <t>Male</t>
  </si>
  <si>
    <t>Development</t>
  </si>
  <si>
    <t>Error</t>
  </si>
  <si>
    <r>
      <t>CBO</t>
    </r>
    <r>
      <rPr>
        <sz val="9"/>
        <color rgb="FF000000"/>
        <rFont val="Arial"/>
        <family val="2"/>
      </rPr>
      <t>1</t>
    </r>
  </si>
  <si>
    <r>
      <t>CBO</t>
    </r>
    <r>
      <rPr>
        <sz val="9"/>
        <color rgb="FF000000"/>
        <rFont val="Arial"/>
        <family val="2"/>
      </rPr>
      <t>2</t>
    </r>
  </si>
  <si>
    <r>
      <t>CBO</t>
    </r>
    <r>
      <rPr>
        <sz val="9"/>
        <color rgb="FF000000"/>
        <rFont val="Arial"/>
        <family val="2"/>
      </rPr>
      <t>3</t>
    </r>
  </si>
  <si>
    <r>
      <t>CBO</t>
    </r>
    <r>
      <rPr>
        <sz val="9"/>
        <color rgb="FF000000"/>
        <rFont val="Arial"/>
        <family val="2"/>
      </rPr>
      <t>4</t>
    </r>
  </si>
  <si>
    <r>
      <t>CBO</t>
    </r>
    <r>
      <rPr>
        <sz val="8"/>
        <color rgb="FF000000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</si>
</sst>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C9DAF8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/>
    <xf numFmtId="0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0" fillId="3" borderId="1" xfId="0" applyNumberFormat="1" applyFont="1" applyFill="1" applyBorder="1" applyAlignment="1"/>
    <xf numFmtId="1" fontId="1" fillId="4" borderId="1" xfId="0" applyNumberFormat="1" applyFont="1" applyFill="1" applyBorder="1" applyAlignment="1">
      <alignment horizontal="center"/>
    </xf>
    <xf numFmtId="0" fontId="2" fillId="0" borderId="0" xfId="0" applyFont="1" applyAlignment="1"/>
    <xf numFmtId="0" fontId="0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Sheet3!$L$1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Sheet3!$S$2:$S$5</c:f>
                <c:numCache>
                  <c:formatCode>General</c:formatCode>
                  <c:ptCount val="4"/>
                  <c:pt idx="0">
                    <c:v>2.2485252683424304</c:v>
                  </c:pt>
                  <c:pt idx="1">
                    <c:v>1.9312426020289581</c:v>
                  </c:pt>
                  <c:pt idx="2">
                    <c:v>5.7172745661826019</c:v>
                  </c:pt>
                  <c:pt idx="3">
                    <c:v>2.5764756400598916</c:v>
                  </c:pt>
                </c:numCache>
              </c:numRef>
            </c:plus>
            <c:minus>
              <c:numRef>
                <c:f>Sheet3!$S$2:$S$5</c:f>
                <c:numCache>
                  <c:formatCode>General</c:formatCode>
                  <c:ptCount val="4"/>
                  <c:pt idx="0">
                    <c:v>2.2485252683424304</c:v>
                  </c:pt>
                  <c:pt idx="1">
                    <c:v>1.9312426020289581</c:v>
                  </c:pt>
                  <c:pt idx="2">
                    <c:v>5.7172745661826019</c:v>
                  </c:pt>
                  <c:pt idx="3">
                    <c:v>2.5764756400598916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Sheet3!$K$2:$K$5</c:f>
              <c:strCache>
                <c:ptCount val="4"/>
                <c:pt idx="0">
                  <c:v>CB1-5:F</c:v>
                </c:pt>
                <c:pt idx="1">
                  <c:v>CBO1-5:F</c:v>
                </c:pt>
                <c:pt idx="2">
                  <c:v>EB1-5:F</c:v>
                </c:pt>
                <c:pt idx="3">
                  <c:v>EBO1-5:F</c:v>
                </c:pt>
              </c:strCache>
            </c:strRef>
          </c:cat>
          <c:val>
            <c:numRef>
              <c:f>Sheet3!$L$2:$L$5</c:f>
              <c:numCache>
                <c:formatCode>General</c:formatCode>
                <c:ptCount val="4"/>
                <c:pt idx="0">
                  <c:v>184.73827500459197</c:v>
                </c:pt>
                <c:pt idx="1">
                  <c:v>185.17402249359733</c:v>
                </c:pt>
                <c:pt idx="2">
                  <c:v>196.70165458017874</c:v>
                </c:pt>
                <c:pt idx="3">
                  <c:v>200.25970819042215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D-4065-85E5-1DB340C223DB}"/>
            </c:ext>
          </c:extLst>
        </c:ser>
        <c:ser>
          <c:idx val="1"/>
          <c:order val="1"/>
          <c:tx>
            <c:strRef>
              <c:f>Sheet3!$M$1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Sheet3!$T$2:$T$5</c:f>
                <c:numCache>
                  <c:formatCode>General</c:formatCode>
                  <c:ptCount val="4"/>
                  <c:pt idx="0">
                    <c:v>2.0214685495405074</c:v>
                  </c:pt>
                  <c:pt idx="1">
                    <c:v>1.82493334414936</c:v>
                  </c:pt>
                  <c:pt idx="2">
                    <c:v>4.8921021652522247</c:v>
                  </c:pt>
                  <c:pt idx="3">
                    <c:v>2.604636618152341</c:v>
                  </c:pt>
                </c:numCache>
              </c:numRef>
            </c:plus>
            <c:minus>
              <c:numRef>
                <c:f>Sheet3!$T$2:$T$5</c:f>
                <c:numCache>
                  <c:formatCode>General</c:formatCode>
                  <c:ptCount val="4"/>
                  <c:pt idx="0">
                    <c:v>2.0214685495405074</c:v>
                  </c:pt>
                  <c:pt idx="1">
                    <c:v>1.82493334414936</c:v>
                  </c:pt>
                  <c:pt idx="2">
                    <c:v>4.8921021652522247</c:v>
                  </c:pt>
                  <c:pt idx="3">
                    <c:v>2.604636618152341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Sheet3!$K$2:$K$5</c:f>
              <c:strCache>
                <c:ptCount val="4"/>
                <c:pt idx="0">
                  <c:v>CB1-5:F</c:v>
                </c:pt>
                <c:pt idx="1">
                  <c:v>CBO1-5:F</c:v>
                </c:pt>
                <c:pt idx="2">
                  <c:v>EB1-5:F</c:v>
                </c:pt>
                <c:pt idx="3">
                  <c:v>EBO1-5:F</c:v>
                </c:pt>
              </c:strCache>
            </c:strRef>
          </c:cat>
          <c:val>
            <c:numRef>
              <c:f>Sheet3!$M$2:$M$5</c:f>
              <c:numCache>
                <c:formatCode>General</c:formatCode>
                <c:ptCount val="4"/>
                <c:pt idx="0">
                  <c:v>188.98839722263341</c:v>
                </c:pt>
                <c:pt idx="1">
                  <c:v>187.00856980693669</c:v>
                </c:pt>
                <c:pt idx="2">
                  <c:v>198.39805315540951</c:v>
                </c:pt>
                <c:pt idx="3">
                  <c:v>205.26443126434279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D-4065-85E5-1DB340C22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949944"/>
        <c:axId val="713945144"/>
      </c:barChart>
      <c:catAx>
        <c:axId val="71394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45144"/>
        <c:crosses val="autoZero"/>
        <c:auto val="1"/>
        <c:lblAlgn val="ctr"/>
        <c:lblOffset val="100"/>
        <c:noMultiLvlLbl val="0"/>
      </c:catAx>
      <c:valAx>
        <c:axId val="71394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Development 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4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Sheet3!$S$8:$S$9</c:f>
                <c:numCache>
                  <c:formatCode>General</c:formatCode>
                  <c:ptCount val="2"/>
                  <c:pt idx="0">
                    <c:v>0.2178737445026826</c:v>
                  </c:pt>
                  <c:pt idx="1">
                    <c:v>1.7790268051217026</c:v>
                  </c:pt>
                </c:numCache>
              </c:numRef>
            </c:plus>
            <c:minus>
              <c:numRef>
                <c:f>Sheet3!$S$8:$S$9</c:f>
                <c:numCache>
                  <c:formatCode>General</c:formatCode>
                  <c:ptCount val="2"/>
                  <c:pt idx="0">
                    <c:v>0.2178737445026826</c:v>
                  </c:pt>
                  <c:pt idx="1">
                    <c:v>1.7790268051217026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Sheet3!$L$7:$M$7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Sheet3!$L$8:$M$8</c:f>
              <c:numCache>
                <c:formatCode>General</c:formatCode>
                <c:ptCount val="2"/>
                <c:pt idx="0">
                  <c:v>184.95614874909467</c:v>
                </c:pt>
                <c:pt idx="1">
                  <c:v>187.99848351478505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F-4C4F-B034-DF37097938F9}"/>
            </c:ext>
          </c:extLst>
        </c:ser>
        <c:ser>
          <c:idx val="1"/>
          <c:order val="1"/>
          <c:tx>
            <c:strRef>
              <c:f>Sheet3!$K$9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Sheet3!$T$8:$T$9</c:f>
                <c:numCache>
                  <c:formatCode>General</c:formatCode>
                  <c:ptCount val="2"/>
                  <c:pt idx="0">
                    <c:v>0.98991370784835897</c:v>
                  </c:pt>
                  <c:pt idx="1">
                    <c:v>3.4331890544666379</c:v>
                  </c:pt>
                </c:numCache>
              </c:numRef>
            </c:plus>
            <c:minus>
              <c:numRef>
                <c:f>Sheet3!$T$8:$T$9</c:f>
                <c:numCache>
                  <c:formatCode>General</c:formatCode>
                  <c:ptCount val="2"/>
                  <c:pt idx="0">
                    <c:v>0.98991370784835897</c:v>
                  </c:pt>
                  <c:pt idx="1">
                    <c:v>3.4331890544666379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Sheet3!$L$7:$M$7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Sheet3!$L$9:$M$9</c:f>
              <c:numCache>
                <c:formatCode>General</c:formatCode>
                <c:ptCount val="2"/>
                <c:pt idx="0">
                  <c:v>198.48068138530044</c:v>
                </c:pt>
                <c:pt idx="1">
                  <c:v>201.83124220987617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F-4C4F-B034-DF3709793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961360"/>
        <c:axId val="635968400"/>
      </c:barChart>
      <c:catAx>
        <c:axId val="63596136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968400"/>
        <c:crosses val="autoZero"/>
        <c:auto val="1"/>
        <c:lblAlgn val="ctr"/>
        <c:lblOffset val="100"/>
        <c:noMultiLvlLbl val="0"/>
      </c:catAx>
      <c:valAx>
        <c:axId val="63596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Development 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96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3BF-4678-B203-1CB2148BF3F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BF-4678-B203-1CB2148BF3FE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3BF-4678-B203-1CB2148BF3FE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BF-4678-B203-1CB2148BF3FE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3BF-4678-B203-1CB2148BF3FE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BF-4678-B203-1CB2148BF3FE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3BF-4678-B203-1CB2148BF3FE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BF-4678-B203-1CB2148BF3FE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3BF-4678-B203-1CB2148BF3FE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BF-4678-B203-1CB2148BF3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3BF-4678-B203-1CB2148BF3FE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3BF-4678-B203-1CB2148BF3FE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3BF-4678-B203-1CB2148BF3F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BF-4678-B203-1CB2148BF3FE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3BF-4678-B203-1CB2148BF3FE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3BF-4678-B203-1CB2148BF3FE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3BF-4678-B203-1CB2148BF3FE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3BF-4678-B203-1CB2148BF3FE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73BF-4678-B203-1CB2148BF3FE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3BF-4678-B203-1CB2148BF3FE}"/>
              </c:ext>
            </c:extLst>
          </c:dPt>
          <c:errBars>
            <c:errBarType val="both"/>
            <c:errValType val="cust"/>
            <c:noEndCap val="0"/>
            <c:plus>
              <c:numRef>
                <c:f>Sheet3!$S$97:$S$116</c:f>
                <c:numCache>
                  <c:formatCode>General</c:formatCode>
                  <c:ptCount val="20"/>
                  <c:pt idx="0">
                    <c:v>1.3547330077775039</c:v>
                  </c:pt>
                  <c:pt idx="1">
                    <c:v>1.277701900304768</c:v>
                  </c:pt>
                  <c:pt idx="2">
                    <c:v>0.36965725463993626</c:v>
                  </c:pt>
                  <c:pt idx="3">
                    <c:v>0.41844568741535842</c:v>
                  </c:pt>
                  <c:pt idx="4">
                    <c:v>0.2813762938780679</c:v>
                  </c:pt>
                  <c:pt idx="5">
                    <c:v>0.79443179422743126</c:v>
                  </c:pt>
                  <c:pt idx="6">
                    <c:v>0.44019219940427223</c:v>
                  </c:pt>
                  <c:pt idx="7">
                    <c:v>1.1811954454668421</c:v>
                  </c:pt>
                  <c:pt idx="8">
                    <c:v>1.7770441384967872</c:v>
                  </c:pt>
                  <c:pt idx="9">
                    <c:v>0.16342184580506483</c:v>
                  </c:pt>
                  <c:pt idx="10">
                    <c:v>1.3888454371369716</c:v>
                  </c:pt>
                  <c:pt idx="11">
                    <c:v>1.2058292607837737</c:v>
                  </c:pt>
                  <c:pt idx="12">
                    <c:v>1.5819860925616775</c:v>
                  </c:pt>
                  <c:pt idx="13">
                    <c:v>1.7341310606775966</c:v>
                  </c:pt>
                  <c:pt idx="14">
                    <c:v>0.88415994448865676</c:v>
                  </c:pt>
                  <c:pt idx="15">
                    <c:v>1.330009020128164</c:v>
                  </c:pt>
                  <c:pt idx="16">
                    <c:v>0.50423045112548959</c:v>
                  </c:pt>
                  <c:pt idx="17">
                    <c:v>5.4624542307160606</c:v>
                  </c:pt>
                  <c:pt idx="18">
                    <c:v>0.53305992918060807</c:v>
                  </c:pt>
                  <c:pt idx="19">
                    <c:v>0.45425312590818284</c:v>
                  </c:pt>
                </c:numCache>
              </c:numRef>
            </c:plus>
            <c:minus>
              <c:numRef>
                <c:f>Sheet3!$S$97:$S$116</c:f>
                <c:numCache>
                  <c:formatCode>General</c:formatCode>
                  <c:ptCount val="20"/>
                  <c:pt idx="0">
                    <c:v>1.3547330077775039</c:v>
                  </c:pt>
                  <c:pt idx="1">
                    <c:v>1.277701900304768</c:v>
                  </c:pt>
                  <c:pt idx="2">
                    <c:v>0.36965725463993626</c:v>
                  </c:pt>
                  <c:pt idx="3">
                    <c:v>0.41844568741535842</c:v>
                  </c:pt>
                  <c:pt idx="4">
                    <c:v>0.2813762938780679</c:v>
                  </c:pt>
                  <c:pt idx="5">
                    <c:v>0.79443179422743126</c:v>
                  </c:pt>
                  <c:pt idx="6">
                    <c:v>0.44019219940427223</c:v>
                  </c:pt>
                  <c:pt idx="7">
                    <c:v>1.1811954454668421</c:v>
                  </c:pt>
                  <c:pt idx="8">
                    <c:v>1.7770441384967872</c:v>
                  </c:pt>
                  <c:pt idx="9">
                    <c:v>0.16342184580506483</c:v>
                  </c:pt>
                  <c:pt idx="10">
                    <c:v>1.3888454371369716</c:v>
                  </c:pt>
                  <c:pt idx="11">
                    <c:v>1.2058292607837737</c:v>
                  </c:pt>
                  <c:pt idx="12">
                    <c:v>1.5819860925616775</c:v>
                  </c:pt>
                  <c:pt idx="13">
                    <c:v>1.7341310606775966</c:v>
                  </c:pt>
                  <c:pt idx="14">
                    <c:v>0.88415994448865676</c:v>
                  </c:pt>
                  <c:pt idx="15">
                    <c:v>1.330009020128164</c:v>
                  </c:pt>
                  <c:pt idx="16">
                    <c:v>0.50423045112548959</c:v>
                  </c:pt>
                  <c:pt idx="17">
                    <c:v>5.4624542307160606</c:v>
                  </c:pt>
                  <c:pt idx="18">
                    <c:v>0.53305992918060807</c:v>
                  </c:pt>
                  <c:pt idx="19">
                    <c:v>0.45425312590818284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Sheet3!$P$97:$Q$116</c:f>
              <c:multiLvlStrCache>
                <c:ptCount val="20"/>
                <c:lvl>
                  <c:pt idx="0">
                    <c:v>CBO1</c:v>
                  </c:pt>
                  <c:pt idx="1">
                    <c:v>CBO2</c:v>
                  </c:pt>
                  <c:pt idx="2">
                    <c:v>CBO3</c:v>
                  </c:pt>
                  <c:pt idx="3">
                    <c:v>CBO4</c:v>
                  </c:pt>
                  <c:pt idx="4">
                    <c:v>CBO5</c:v>
                  </c:pt>
                  <c:pt idx="5">
                    <c:v>CB1</c:v>
                  </c:pt>
                  <c:pt idx="6">
                    <c:v>CB2</c:v>
                  </c:pt>
                  <c:pt idx="7">
                    <c:v>CB3</c:v>
                  </c:pt>
                  <c:pt idx="8">
                    <c:v>CB4</c:v>
                  </c:pt>
                  <c:pt idx="9">
                    <c:v>CB5</c:v>
                  </c:pt>
                  <c:pt idx="10">
                    <c:v>OBO1</c:v>
                  </c:pt>
                  <c:pt idx="11">
                    <c:v>OBO2</c:v>
                  </c:pt>
                  <c:pt idx="12">
                    <c:v>OBO3</c:v>
                  </c:pt>
                  <c:pt idx="13">
                    <c:v>OBO4</c:v>
                  </c:pt>
                  <c:pt idx="14">
                    <c:v>OBO5</c:v>
                  </c:pt>
                  <c:pt idx="15">
                    <c:v>OB1</c:v>
                  </c:pt>
                  <c:pt idx="16">
                    <c:v>OB2</c:v>
                  </c:pt>
                  <c:pt idx="17">
                    <c:v>OB3</c:v>
                  </c:pt>
                  <c:pt idx="18">
                    <c:v>OB4</c:v>
                  </c:pt>
                  <c:pt idx="19">
                    <c:v>OB5</c:v>
                  </c:pt>
                </c:lvl>
                <c:lvl>
                  <c:pt idx="0">
                    <c:v>New B types</c:v>
                  </c:pt>
                  <c:pt idx="10">
                    <c:v>New O types</c:v>
                  </c:pt>
                </c:lvl>
              </c:multiLvlStrCache>
            </c:multiLvlStrRef>
          </c:cat>
          <c:val>
            <c:numRef>
              <c:f>Sheet3!$R$97:$R$116</c:f>
              <c:numCache>
                <c:formatCode>General</c:formatCode>
                <c:ptCount val="20"/>
                <c:pt idx="0">
                  <c:v>188.67630344810468</c:v>
                </c:pt>
                <c:pt idx="1">
                  <c:v>193.28179886298921</c:v>
                </c:pt>
                <c:pt idx="2">
                  <c:v>184.32329001710778</c:v>
                </c:pt>
                <c:pt idx="3">
                  <c:v>185.69432398413173</c:v>
                </c:pt>
                <c:pt idx="4">
                  <c:v>183.0671327223501</c:v>
                </c:pt>
                <c:pt idx="5">
                  <c:v>191.46041413647046</c:v>
                </c:pt>
                <c:pt idx="6">
                  <c:v>185.54561192862087</c:v>
                </c:pt>
                <c:pt idx="7">
                  <c:v>195.4456875756857</c:v>
                </c:pt>
                <c:pt idx="8">
                  <c:v>188.11803550599174</c:v>
                </c:pt>
                <c:pt idx="9">
                  <c:v>184.37223696639825</c:v>
                </c:pt>
                <c:pt idx="10">
                  <c:v>205.47939036039946</c:v>
                </c:pt>
                <c:pt idx="11">
                  <c:v>204.82707526435826</c:v>
                </c:pt>
                <c:pt idx="12">
                  <c:v>211.07376042590948</c:v>
                </c:pt>
                <c:pt idx="13">
                  <c:v>209.0318316650127</c:v>
                </c:pt>
                <c:pt idx="14">
                  <c:v>195.9100986060339</c:v>
                </c:pt>
                <c:pt idx="15">
                  <c:v>189.71199313088229</c:v>
                </c:pt>
                <c:pt idx="16">
                  <c:v>193.76432709447414</c:v>
                </c:pt>
                <c:pt idx="17">
                  <c:v>217.50272226455067</c:v>
                </c:pt>
                <c:pt idx="18">
                  <c:v>195.58746022093845</c:v>
                </c:pt>
                <c:pt idx="19">
                  <c:v>195.42376306620207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F-4678-B203-1CB2148BF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overlap val="25"/>
        <c:axId val="842747064"/>
        <c:axId val="842747384"/>
      </c:barChart>
      <c:catAx>
        <c:axId val="84274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47384"/>
        <c:crosses val="autoZero"/>
        <c:auto val="1"/>
        <c:lblAlgn val="ctr"/>
        <c:lblOffset val="100"/>
        <c:tickMarkSkip val="1"/>
        <c:noMultiLvlLbl val="0"/>
      </c:catAx>
      <c:valAx>
        <c:axId val="842747384"/>
        <c:scaling>
          <c:orientation val="minMax"/>
          <c:max val="230"/>
          <c:min val="17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50000"/>
                  <a:lumOff val="50000"/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Development 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47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AD-4F50-8D16-1FE0523FE85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AD-4F50-8D16-1FE0523FE852}"/>
              </c:ext>
            </c:extLst>
          </c:dPt>
          <c:errBars>
            <c:errBarType val="both"/>
            <c:errValType val="cust"/>
            <c:noEndCap val="0"/>
            <c:plus>
              <c:numRef>
                <c:f>Sheet3!$Y$121:$Y$122</c:f>
                <c:numCache>
                  <c:formatCode>General</c:formatCode>
                  <c:ptCount val="2"/>
                  <c:pt idx="0">
                    <c:v>1.3255339705494458</c:v>
                  </c:pt>
                  <c:pt idx="1">
                    <c:v>2.8522968931387465</c:v>
                  </c:pt>
                </c:numCache>
              </c:numRef>
            </c:plus>
            <c:minus>
              <c:numRef>
                <c:f>Sheet3!$Y$121:$Y$122</c:f>
                <c:numCache>
                  <c:formatCode>General</c:formatCode>
                  <c:ptCount val="2"/>
                  <c:pt idx="0">
                    <c:v>1.3255339705494458</c:v>
                  </c:pt>
                  <c:pt idx="1">
                    <c:v>2.8522968931387465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Sheet3!$W$121:$W$122</c:f>
              <c:strCache>
                <c:ptCount val="2"/>
                <c:pt idx="0">
                  <c:v>New B types</c:v>
                </c:pt>
                <c:pt idx="1">
                  <c:v>New O types</c:v>
                </c:pt>
              </c:strCache>
            </c:strRef>
          </c:cat>
          <c:val>
            <c:numRef>
              <c:f>Sheet3!$X$121:$X$122</c:f>
              <c:numCache>
                <c:formatCode>General</c:formatCode>
                <c:ptCount val="2"/>
                <c:pt idx="0">
                  <c:v>187.99848351478505</c:v>
                </c:pt>
                <c:pt idx="1">
                  <c:v>201.83124220987617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D-4F50-8D16-1FE0523FE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286295824"/>
        <c:axId val="286291024"/>
      </c:barChart>
      <c:catAx>
        <c:axId val="28629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91024"/>
        <c:crosses val="autoZero"/>
        <c:auto val="1"/>
        <c:lblAlgn val="ctr"/>
        <c:lblOffset val="100"/>
        <c:noMultiLvlLbl val="0"/>
      </c:catAx>
      <c:valAx>
        <c:axId val="286291024"/>
        <c:scaling>
          <c:orientation val="minMax"/>
          <c:max val="230"/>
          <c:min val="17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50000"/>
                  <a:lumOff val="50000"/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DEVELOPMENT 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9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452437</xdr:colOff>
      <xdr:row>10</xdr:row>
      <xdr:rowOff>38100</xdr:rowOff>
    </xdr:from>
    <xdr:to>
      <xdr:col>16</xdr:col>
      <xdr:colOff>147637</xdr:colOff>
      <xdr:row>27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87A4F2-5C81-450F-9F71-3A40DFC5B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461962</xdr:colOff>
      <xdr:row>10</xdr:row>
      <xdr:rowOff>19050</xdr:rowOff>
    </xdr:from>
    <xdr:to>
      <xdr:col>24</xdr:col>
      <xdr:colOff>157162</xdr:colOff>
      <xdr:row>27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96D35D-AA6D-412A-BA04-3E9FEC2A1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377031</xdr:colOff>
      <xdr:row>96</xdr:row>
      <xdr:rowOff>76993</xdr:rowOff>
    </xdr:from>
    <xdr:to>
      <xdr:col>29</xdr:col>
      <xdr:colOff>404813</xdr:colOff>
      <xdr:row>115</xdr:row>
      <xdr:rowOff>79374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E62CCD-541B-46E3-81D3-536C168DD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452438</xdr:colOff>
      <xdr:row>96</xdr:row>
      <xdr:rowOff>79376</xdr:rowOff>
    </xdr:from>
    <xdr:to>
      <xdr:col>32</xdr:col>
      <xdr:colOff>23813</xdr:colOff>
      <xdr:row>115</xdr:row>
      <xdr:rowOff>87314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F73FEC-B141-47DF-AD8C-03DC42FE2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206374</xdr:colOff>
      <xdr:row>116</xdr:row>
      <xdr:rowOff>119062</xdr:rowOff>
    </xdr:from>
    <xdr:to>
      <xdr:col>31</xdr:col>
      <xdr:colOff>477564</xdr:colOff>
      <xdr:row>135</xdr:row>
      <xdr:rowOff>138883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261F7A-37A6-45B8-A13C-3223D22D6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04937" y="18534062"/>
          <a:ext cx="6383065" cy="3036071"/>
        </a:xfrm>
        <a:prstGeom prst="rect">
          <a:avLst/>
        </a:prstGeom>
      </xdr:spPr>
    </xdr:pic>
    <xdr:clientData/>
  </xdr:twoCellAnchor>
  <xdr:twoCellAnchor editAs="oneCell">
    <xdr:from>
      <xdr:col>32</xdr:col>
      <xdr:colOff>309563</xdr:colOff>
      <xdr:row>104</xdr:row>
      <xdr:rowOff>103188</xdr:rowOff>
    </xdr:from>
    <xdr:to>
      <xdr:col>42</xdr:col>
      <xdr:colOff>580753</xdr:colOff>
      <xdr:row>123</xdr:row>
      <xdr:rowOff>123009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79242E9-6B5F-4B80-8DD5-0B48E7128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31188" y="16613188"/>
          <a:ext cx="6383065" cy="3036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03"/>
  <sheetViews>
    <sheetView tabSelected="1" zoomScaleNormal="100" workbookViewId="0">
      <pane ySplit="2" topLeftCell="A3" activePane="bottomLeft" state="frozen"/>
      <selection pane="bottomLeft" activeCell="I15" sqref="I15"/>
    </sheetView>
  </sheetViews>
  <sheetFormatPr defaultColWidth="14.42578125" defaultRowHeight="15.75" customHeight="1" x14ac:dyDescent="0.2"/>
  <cols>
    <col min="1" max="1" width="24.140625" style="2" bestFit="1" customWidth="1"/>
    <col min="2" max="2" width="5.7109375" style="2" bestFit="1" customWidth="1"/>
    <col min="3" max="3" width="4.28515625" style="2" bestFit="1" customWidth="1"/>
    <col min="4" max="4" width="10.28515625" style="2" bestFit="1" customWidth="1"/>
    <col min="5" max="5" width="12.28515625" style="2" bestFit="1" customWidth="1"/>
    <col min="6" max="6" width="11.28515625" style="2" bestFit="1" customWidth="1"/>
    <col min="7" max="7" width="12.28515625" style="7" bestFit="1" customWidth="1"/>
    <col min="8" max="8" width="11.28515625" style="11" bestFit="1" customWidth="1"/>
    <col min="9" max="9" width="12.28515625" style="7" bestFit="1" customWidth="1"/>
    <col min="10" max="10" width="11.28515625" style="7" bestFit="1" customWidth="1"/>
    <col min="11" max="11" width="12.28515625" style="7" bestFit="1" customWidth="1"/>
    <col min="12" max="12" width="11.28515625" style="7" bestFit="1" customWidth="1"/>
    <col min="13" max="13" width="12.28515625" style="2" bestFit="1" customWidth="1"/>
    <col min="14" max="14" width="11.28515625" style="2" bestFit="1" customWidth="1"/>
    <col min="15" max="15" width="12.28515625" style="7" bestFit="1" customWidth="1"/>
    <col min="16" max="16" width="11.28515625" style="7" bestFit="1" customWidth="1"/>
    <col min="17" max="17" width="12.28515625" style="2" bestFit="1" customWidth="1"/>
    <col min="18" max="18" width="11.28515625" style="7" bestFit="1" customWidth="1"/>
    <col min="19" max="19" width="12.28515625" style="7" bestFit="1" customWidth="1"/>
    <col min="20" max="20" width="11.28515625" style="2" bestFit="1" customWidth="1"/>
    <col min="21" max="21" width="12.28515625" style="7" bestFit="1" customWidth="1"/>
    <col min="22" max="22" width="11.28515625" style="7" bestFit="1" customWidth="1"/>
    <col min="23" max="23" width="12.28515625" style="2" bestFit="1" customWidth="1"/>
    <col min="24" max="24" width="11.28515625" style="7" bestFit="1" customWidth="1"/>
    <col min="25" max="25" width="12.28515625" style="7" bestFit="1" customWidth="1"/>
    <col min="26" max="28" width="11.28515625" style="7" bestFit="1" customWidth="1"/>
    <col min="29" max="29" width="12.28515625" style="7" bestFit="1" customWidth="1"/>
    <col min="30" max="16384" width="14.42578125" style="2"/>
  </cols>
  <sheetData>
    <row r="1" spans="1:29" ht="15.75" customHeight="1" x14ac:dyDescent="0.2">
      <c r="A1" s="2" t="s">
        <v>76</v>
      </c>
      <c r="D1" s="2">
        <v>168</v>
      </c>
      <c r="E1" s="2">
        <f>D1+6</f>
        <v>174</v>
      </c>
      <c r="F1" s="2">
        <f t="shared" ref="F1:Z1" si="0">E1+6</f>
        <v>180</v>
      </c>
      <c r="G1" s="2">
        <f t="shared" si="0"/>
        <v>186</v>
      </c>
      <c r="H1" s="2">
        <f t="shared" si="0"/>
        <v>192</v>
      </c>
      <c r="I1" s="2">
        <f t="shared" si="0"/>
        <v>198</v>
      </c>
      <c r="J1" s="2">
        <f t="shared" si="0"/>
        <v>204</v>
      </c>
      <c r="K1" s="2">
        <f t="shared" si="0"/>
        <v>210</v>
      </c>
      <c r="L1" s="2">
        <f t="shared" si="0"/>
        <v>216</v>
      </c>
      <c r="M1" s="2">
        <f t="shared" si="0"/>
        <v>222</v>
      </c>
      <c r="N1" s="2">
        <f t="shared" si="0"/>
        <v>228</v>
      </c>
      <c r="O1" s="2">
        <f t="shared" si="0"/>
        <v>234</v>
      </c>
      <c r="P1" s="2">
        <f t="shared" si="0"/>
        <v>240</v>
      </c>
      <c r="Q1" s="2">
        <f t="shared" si="0"/>
        <v>246</v>
      </c>
      <c r="R1" s="2">
        <f>Q1+6</f>
        <v>252</v>
      </c>
      <c r="S1" s="2">
        <f t="shared" si="0"/>
        <v>258</v>
      </c>
      <c r="T1" s="2">
        <f t="shared" si="0"/>
        <v>264</v>
      </c>
      <c r="U1" s="2">
        <f t="shared" si="0"/>
        <v>270</v>
      </c>
      <c r="V1" s="2">
        <f t="shared" si="0"/>
        <v>276</v>
      </c>
      <c r="W1" s="2">
        <f t="shared" si="0"/>
        <v>282</v>
      </c>
      <c r="X1" s="2">
        <f t="shared" si="0"/>
        <v>288</v>
      </c>
      <c r="Y1" s="2">
        <f t="shared" si="0"/>
        <v>294</v>
      </c>
      <c r="Z1" s="2">
        <f t="shared" si="0"/>
        <v>300</v>
      </c>
      <c r="AA1" s="7">
        <v>324</v>
      </c>
      <c r="AB1" s="7">
        <v>336</v>
      </c>
      <c r="AC1" s="7">
        <v>354</v>
      </c>
    </row>
    <row r="2" spans="1:29" ht="12.75" x14ac:dyDescent="0.2">
      <c r="A2" s="1" t="s">
        <v>0</v>
      </c>
      <c r="B2" s="1" t="s">
        <v>1</v>
      </c>
      <c r="C2" s="1" t="s">
        <v>28</v>
      </c>
      <c r="D2" s="1" t="s">
        <v>60</v>
      </c>
      <c r="E2" s="1" t="s">
        <v>61</v>
      </c>
      <c r="F2" s="1" t="s">
        <v>62</v>
      </c>
      <c r="G2" s="5" t="s">
        <v>71</v>
      </c>
      <c r="H2" s="12" t="s">
        <v>69</v>
      </c>
      <c r="I2" s="5" t="s">
        <v>48</v>
      </c>
      <c r="J2" s="5" t="s">
        <v>65</v>
      </c>
      <c r="K2" s="5" t="s">
        <v>66</v>
      </c>
      <c r="L2" s="5" t="s">
        <v>74</v>
      </c>
      <c r="M2" s="1" t="s">
        <v>40</v>
      </c>
      <c r="N2" s="1" t="s">
        <v>39</v>
      </c>
      <c r="O2" s="5" t="s">
        <v>42</v>
      </c>
      <c r="P2" s="5" t="s">
        <v>44</v>
      </c>
      <c r="Q2" s="1" t="s">
        <v>34</v>
      </c>
      <c r="R2" s="5" t="s">
        <v>35</v>
      </c>
      <c r="S2" s="5" t="s">
        <v>38</v>
      </c>
      <c r="T2" s="1" t="s">
        <v>31</v>
      </c>
      <c r="U2" s="5" t="s">
        <v>58</v>
      </c>
      <c r="V2" s="5" t="s">
        <v>56</v>
      </c>
      <c r="W2" s="1" t="s">
        <v>52</v>
      </c>
      <c r="X2" s="5" t="s">
        <v>54</v>
      </c>
      <c r="Y2" s="5" t="s">
        <v>57</v>
      </c>
      <c r="Z2" s="5" t="s">
        <v>47</v>
      </c>
      <c r="AA2" s="5" t="s">
        <v>46</v>
      </c>
      <c r="AB2" s="5" t="s">
        <v>59</v>
      </c>
      <c r="AC2" s="5" t="s">
        <v>49</v>
      </c>
    </row>
    <row r="3" spans="1:29" ht="12.75" x14ac:dyDescent="0.2">
      <c r="A3" s="3" t="s">
        <v>3</v>
      </c>
      <c r="B3" s="3" t="s">
        <v>4</v>
      </c>
      <c r="C3" s="3" t="s">
        <v>29</v>
      </c>
      <c r="D3" s="8">
        <v>0</v>
      </c>
      <c r="E3" s="9">
        <v>1</v>
      </c>
      <c r="F3" s="3">
        <v>5</v>
      </c>
      <c r="G3" s="6">
        <v>30</v>
      </c>
      <c r="H3" s="10">
        <v>24</v>
      </c>
      <c r="I3" s="6">
        <v>10</v>
      </c>
      <c r="J3" s="6">
        <v>2</v>
      </c>
      <c r="K3" s="4" t="s">
        <v>33</v>
      </c>
      <c r="L3" s="6">
        <v>1</v>
      </c>
      <c r="M3" s="4" t="s">
        <v>33</v>
      </c>
      <c r="N3" s="3">
        <v>1</v>
      </c>
      <c r="O3" s="4" t="s">
        <v>33</v>
      </c>
      <c r="P3" s="4" t="s">
        <v>33</v>
      </c>
      <c r="Q3" s="3">
        <v>0</v>
      </c>
      <c r="R3" s="4" t="s">
        <v>33</v>
      </c>
      <c r="S3" s="4" t="s">
        <v>33</v>
      </c>
      <c r="T3" s="4" t="s">
        <v>33</v>
      </c>
      <c r="U3" s="4" t="s">
        <v>33</v>
      </c>
      <c r="V3" s="4" t="s">
        <v>33</v>
      </c>
      <c r="W3" s="4" t="s">
        <v>33</v>
      </c>
      <c r="X3" s="4" t="s">
        <v>33</v>
      </c>
      <c r="Y3" s="4" t="s">
        <v>33</v>
      </c>
      <c r="Z3" s="4" t="s">
        <v>33</v>
      </c>
      <c r="AA3" s="4" t="s">
        <v>33</v>
      </c>
      <c r="AB3" s="4" t="s">
        <v>33</v>
      </c>
      <c r="AC3" s="4" t="s">
        <v>33</v>
      </c>
    </row>
    <row r="4" spans="1:29" ht="12.75" x14ac:dyDescent="0.2">
      <c r="A4" s="3" t="s">
        <v>3</v>
      </c>
      <c r="B4" s="3" t="s">
        <v>4</v>
      </c>
      <c r="C4" s="3" t="s">
        <v>30</v>
      </c>
      <c r="D4" s="8">
        <v>1</v>
      </c>
      <c r="E4" s="9">
        <v>4</v>
      </c>
      <c r="F4" s="3">
        <v>25</v>
      </c>
      <c r="G4" s="6">
        <v>21</v>
      </c>
      <c r="H4" s="10">
        <v>7</v>
      </c>
      <c r="I4" s="6">
        <v>1</v>
      </c>
      <c r="J4" s="6">
        <v>0</v>
      </c>
      <c r="K4" s="4" t="s">
        <v>33</v>
      </c>
      <c r="L4" s="6">
        <v>0</v>
      </c>
      <c r="M4" s="4" t="s">
        <v>33</v>
      </c>
      <c r="N4" s="3">
        <v>0</v>
      </c>
      <c r="O4" s="4" t="s">
        <v>33</v>
      </c>
      <c r="P4" s="4" t="s">
        <v>33</v>
      </c>
      <c r="Q4" s="3">
        <v>1</v>
      </c>
      <c r="R4" s="4" t="s">
        <v>33</v>
      </c>
      <c r="S4" s="4" t="s">
        <v>33</v>
      </c>
      <c r="T4" s="4" t="s">
        <v>33</v>
      </c>
      <c r="U4" s="4" t="s">
        <v>33</v>
      </c>
      <c r="V4" s="4" t="s">
        <v>33</v>
      </c>
      <c r="W4" s="4" t="s">
        <v>33</v>
      </c>
      <c r="X4" s="4" t="s">
        <v>33</v>
      </c>
      <c r="Y4" s="4" t="s">
        <v>33</v>
      </c>
      <c r="Z4" s="4" t="s">
        <v>33</v>
      </c>
      <c r="AA4" s="4" t="s">
        <v>33</v>
      </c>
      <c r="AB4" s="4" t="s">
        <v>33</v>
      </c>
      <c r="AC4" s="4" t="s">
        <v>33</v>
      </c>
    </row>
    <row r="5" spans="1:29" ht="12.75" x14ac:dyDescent="0.2">
      <c r="A5" s="3" t="s">
        <v>3</v>
      </c>
      <c r="B5" s="3" t="s">
        <v>5</v>
      </c>
      <c r="C5" s="3" t="s">
        <v>29</v>
      </c>
      <c r="D5" s="8">
        <v>0</v>
      </c>
      <c r="E5" s="3">
        <v>0</v>
      </c>
      <c r="F5" s="3">
        <v>4</v>
      </c>
      <c r="G5" s="6">
        <v>34</v>
      </c>
      <c r="H5" s="10">
        <v>4</v>
      </c>
      <c r="I5" s="6">
        <v>10</v>
      </c>
      <c r="J5" s="6">
        <v>0</v>
      </c>
      <c r="K5" s="4" t="s">
        <v>33</v>
      </c>
      <c r="L5" s="4" t="s">
        <v>33</v>
      </c>
      <c r="M5" s="4" t="s">
        <v>33</v>
      </c>
      <c r="N5" s="4" t="s">
        <v>33</v>
      </c>
      <c r="O5" s="4" t="s">
        <v>33</v>
      </c>
      <c r="P5" s="4" t="s">
        <v>33</v>
      </c>
      <c r="Q5" s="4" t="s">
        <v>33</v>
      </c>
      <c r="R5" s="4" t="s">
        <v>33</v>
      </c>
      <c r="S5" s="4" t="s">
        <v>33</v>
      </c>
      <c r="T5" s="3">
        <v>1</v>
      </c>
      <c r="U5" s="6">
        <v>1</v>
      </c>
      <c r="V5" s="4" t="s">
        <v>33</v>
      </c>
      <c r="W5" s="4" t="s">
        <v>33</v>
      </c>
      <c r="X5" s="4" t="s">
        <v>33</v>
      </c>
      <c r="Y5" s="4" t="s">
        <v>33</v>
      </c>
      <c r="Z5" s="4" t="s">
        <v>33</v>
      </c>
      <c r="AA5" s="4" t="s">
        <v>33</v>
      </c>
      <c r="AB5" s="4" t="s">
        <v>33</v>
      </c>
      <c r="AC5" s="4" t="s">
        <v>33</v>
      </c>
    </row>
    <row r="6" spans="1:29" ht="12.75" x14ac:dyDescent="0.2">
      <c r="A6" s="3" t="s">
        <v>3</v>
      </c>
      <c r="B6" s="3" t="s">
        <v>5</v>
      </c>
      <c r="C6" s="3" t="s">
        <v>30</v>
      </c>
      <c r="D6" s="8">
        <v>1</v>
      </c>
      <c r="E6" s="3">
        <v>6</v>
      </c>
      <c r="F6" s="3">
        <v>30</v>
      </c>
      <c r="G6" s="6">
        <v>14</v>
      </c>
      <c r="H6" s="10">
        <v>1</v>
      </c>
      <c r="I6" s="6">
        <v>0</v>
      </c>
      <c r="J6" s="6">
        <v>1</v>
      </c>
      <c r="K6" s="4" t="s">
        <v>33</v>
      </c>
      <c r="L6" s="4" t="s">
        <v>33</v>
      </c>
      <c r="M6" s="4" t="s">
        <v>33</v>
      </c>
      <c r="N6" s="4" t="s">
        <v>33</v>
      </c>
      <c r="O6" s="4" t="s">
        <v>33</v>
      </c>
      <c r="P6" s="4" t="s">
        <v>33</v>
      </c>
      <c r="Q6" s="4" t="s">
        <v>33</v>
      </c>
      <c r="R6" s="4" t="s">
        <v>33</v>
      </c>
      <c r="S6" s="4" t="s">
        <v>33</v>
      </c>
      <c r="T6" s="3">
        <v>0</v>
      </c>
      <c r="U6" s="6">
        <v>0</v>
      </c>
      <c r="V6" s="4" t="s">
        <v>33</v>
      </c>
      <c r="W6" s="4" t="s">
        <v>33</v>
      </c>
      <c r="X6" s="4" t="s">
        <v>33</v>
      </c>
      <c r="Y6" s="4" t="s">
        <v>33</v>
      </c>
      <c r="Z6" s="4" t="s">
        <v>33</v>
      </c>
      <c r="AA6" s="4" t="s">
        <v>33</v>
      </c>
      <c r="AB6" s="4" t="s">
        <v>33</v>
      </c>
      <c r="AC6" s="4" t="s">
        <v>33</v>
      </c>
    </row>
    <row r="7" spans="1:29" ht="12.75" x14ac:dyDescent="0.2">
      <c r="A7" s="3" t="s">
        <v>3</v>
      </c>
      <c r="B7" s="3" t="s">
        <v>6</v>
      </c>
      <c r="C7" s="3" t="s">
        <v>29</v>
      </c>
      <c r="D7" s="8">
        <v>0</v>
      </c>
      <c r="E7" s="4" t="s">
        <v>33</v>
      </c>
      <c r="F7" s="3">
        <v>4</v>
      </c>
      <c r="G7" s="6">
        <v>15</v>
      </c>
      <c r="H7" s="10">
        <v>13</v>
      </c>
      <c r="I7" s="6">
        <v>19</v>
      </c>
      <c r="J7" s="6">
        <v>10</v>
      </c>
      <c r="K7" s="6">
        <v>0</v>
      </c>
      <c r="L7" s="4" t="s">
        <v>33</v>
      </c>
      <c r="M7" s="3">
        <v>2</v>
      </c>
      <c r="N7" s="4" t="s">
        <v>33</v>
      </c>
      <c r="O7" s="4" t="s">
        <v>33</v>
      </c>
      <c r="P7" s="4" t="s">
        <v>33</v>
      </c>
      <c r="Q7" s="4" t="s">
        <v>33</v>
      </c>
      <c r="R7" s="4" t="s">
        <v>33</v>
      </c>
      <c r="S7" s="4" t="s">
        <v>33</v>
      </c>
      <c r="T7" s="4" t="s">
        <v>33</v>
      </c>
      <c r="U7" s="4" t="s">
        <v>33</v>
      </c>
      <c r="V7" s="4" t="s">
        <v>33</v>
      </c>
      <c r="W7" s="4" t="s">
        <v>33</v>
      </c>
      <c r="X7" s="4" t="s">
        <v>33</v>
      </c>
      <c r="Y7" s="4" t="s">
        <v>33</v>
      </c>
      <c r="Z7" s="4" t="s">
        <v>33</v>
      </c>
      <c r="AA7" s="4" t="s">
        <v>33</v>
      </c>
      <c r="AB7" s="4" t="s">
        <v>33</v>
      </c>
      <c r="AC7" s="4" t="s">
        <v>33</v>
      </c>
    </row>
    <row r="8" spans="1:29" ht="12.75" x14ac:dyDescent="0.2">
      <c r="A8" s="3" t="s">
        <v>3</v>
      </c>
      <c r="B8" s="3" t="s">
        <v>6</v>
      </c>
      <c r="C8" s="3" t="s">
        <v>30</v>
      </c>
      <c r="D8" s="8">
        <v>1</v>
      </c>
      <c r="E8" s="4" t="s">
        <v>33</v>
      </c>
      <c r="F8" s="3">
        <v>15</v>
      </c>
      <c r="G8" s="6">
        <v>20</v>
      </c>
      <c r="H8" s="10">
        <v>20</v>
      </c>
      <c r="I8" s="6">
        <v>11</v>
      </c>
      <c r="J8" s="6">
        <v>9</v>
      </c>
      <c r="K8" s="6">
        <v>1</v>
      </c>
      <c r="L8" s="4" t="s">
        <v>33</v>
      </c>
      <c r="M8" s="3">
        <v>0</v>
      </c>
      <c r="N8" s="4" t="s">
        <v>33</v>
      </c>
      <c r="O8" s="4" t="s">
        <v>33</v>
      </c>
      <c r="P8" s="4" t="s">
        <v>33</v>
      </c>
      <c r="Q8" s="4" t="s">
        <v>33</v>
      </c>
      <c r="R8" s="4" t="s">
        <v>33</v>
      </c>
      <c r="S8" s="4" t="s">
        <v>33</v>
      </c>
      <c r="T8" s="4" t="s">
        <v>33</v>
      </c>
      <c r="U8" s="4" t="s">
        <v>33</v>
      </c>
      <c r="V8" s="4" t="s">
        <v>33</v>
      </c>
      <c r="W8" s="4" t="s">
        <v>33</v>
      </c>
      <c r="X8" s="4" t="s">
        <v>33</v>
      </c>
      <c r="Y8" s="4" t="s">
        <v>33</v>
      </c>
      <c r="Z8" s="4" t="s">
        <v>33</v>
      </c>
      <c r="AA8" s="4" t="s">
        <v>33</v>
      </c>
      <c r="AB8" s="4" t="s">
        <v>33</v>
      </c>
      <c r="AC8" s="4" t="s">
        <v>33</v>
      </c>
    </row>
    <row r="9" spans="1:29" ht="12.75" x14ac:dyDescent="0.2">
      <c r="A9" s="3" t="s">
        <v>3</v>
      </c>
      <c r="B9" s="3" t="s">
        <v>7</v>
      </c>
      <c r="C9" s="3" t="s">
        <v>29</v>
      </c>
      <c r="D9" s="4" t="s">
        <v>33</v>
      </c>
      <c r="E9" s="3">
        <v>0</v>
      </c>
      <c r="F9" s="3">
        <v>8</v>
      </c>
      <c r="G9" s="6">
        <v>28</v>
      </c>
      <c r="H9" s="10">
        <v>14</v>
      </c>
      <c r="I9" s="6">
        <v>9</v>
      </c>
      <c r="J9" s="6">
        <v>1</v>
      </c>
      <c r="K9" s="6">
        <v>1</v>
      </c>
      <c r="L9" s="6">
        <v>2</v>
      </c>
      <c r="M9" s="4" t="s">
        <v>33</v>
      </c>
      <c r="N9" s="4" t="s">
        <v>33</v>
      </c>
      <c r="O9" s="4" t="s">
        <v>33</v>
      </c>
      <c r="P9" s="4" t="s">
        <v>33</v>
      </c>
      <c r="Q9" s="4" t="s">
        <v>33</v>
      </c>
      <c r="R9" s="4" t="s">
        <v>33</v>
      </c>
      <c r="S9" s="4" t="s">
        <v>33</v>
      </c>
      <c r="T9" s="4" t="s">
        <v>33</v>
      </c>
      <c r="U9" s="4" t="s">
        <v>33</v>
      </c>
      <c r="V9" s="4" t="s">
        <v>33</v>
      </c>
      <c r="W9" s="4" t="s">
        <v>33</v>
      </c>
      <c r="X9" s="4" t="s">
        <v>33</v>
      </c>
      <c r="Y9" s="4" t="s">
        <v>33</v>
      </c>
      <c r="Z9" s="4" t="s">
        <v>33</v>
      </c>
      <c r="AA9" s="4" t="s">
        <v>33</v>
      </c>
      <c r="AB9" s="4" t="s">
        <v>33</v>
      </c>
      <c r="AC9" s="4" t="s">
        <v>33</v>
      </c>
    </row>
    <row r="10" spans="1:29" ht="12.75" x14ac:dyDescent="0.2">
      <c r="A10" s="3" t="s">
        <v>3</v>
      </c>
      <c r="B10" s="3" t="s">
        <v>7</v>
      </c>
      <c r="C10" s="3" t="s">
        <v>30</v>
      </c>
      <c r="D10" s="4" t="s">
        <v>33</v>
      </c>
      <c r="E10" s="3">
        <v>1</v>
      </c>
      <c r="F10" s="3">
        <v>21</v>
      </c>
      <c r="G10" s="6">
        <v>28</v>
      </c>
      <c r="H10" s="10">
        <v>10</v>
      </c>
      <c r="I10" s="6">
        <v>0</v>
      </c>
      <c r="J10" s="6">
        <v>1</v>
      </c>
      <c r="K10" s="6">
        <v>0</v>
      </c>
      <c r="L10" s="6">
        <v>0</v>
      </c>
      <c r="M10" s="4" t="s">
        <v>33</v>
      </c>
      <c r="N10" s="4" t="s">
        <v>33</v>
      </c>
      <c r="O10" s="4" t="s">
        <v>33</v>
      </c>
      <c r="P10" s="4" t="s">
        <v>33</v>
      </c>
      <c r="Q10" s="4" t="s">
        <v>33</v>
      </c>
      <c r="R10" s="4" t="s">
        <v>33</v>
      </c>
      <c r="S10" s="4" t="s">
        <v>33</v>
      </c>
      <c r="T10" s="4" t="s">
        <v>33</v>
      </c>
      <c r="U10" s="4" t="s">
        <v>33</v>
      </c>
      <c r="V10" s="4" t="s">
        <v>33</v>
      </c>
      <c r="W10" s="4" t="s">
        <v>33</v>
      </c>
      <c r="X10" s="4" t="s">
        <v>33</v>
      </c>
      <c r="Y10" s="4" t="s">
        <v>33</v>
      </c>
      <c r="Z10" s="4" t="s">
        <v>33</v>
      </c>
      <c r="AA10" s="4" t="s">
        <v>33</v>
      </c>
      <c r="AB10" s="4" t="s">
        <v>33</v>
      </c>
      <c r="AC10" s="4" t="s">
        <v>33</v>
      </c>
    </row>
    <row r="11" spans="1:29" ht="12.75" x14ac:dyDescent="0.2">
      <c r="A11" s="3" t="s">
        <v>3</v>
      </c>
      <c r="B11" s="3" t="s">
        <v>8</v>
      </c>
      <c r="C11" s="3" t="s">
        <v>29</v>
      </c>
      <c r="D11" s="4" t="s">
        <v>33</v>
      </c>
      <c r="E11" s="3">
        <v>1</v>
      </c>
      <c r="F11" s="3">
        <v>2</v>
      </c>
      <c r="G11" s="6">
        <v>39</v>
      </c>
      <c r="H11" s="10">
        <v>9</v>
      </c>
      <c r="I11" s="6">
        <v>12</v>
      </c>
      <c r="J11" s="6">
        <v>6</v>
      </c>
      <c r="K11" s="4" t="s">
        <v>33</v>
      </c>
      <c r="L11" s="6">
        <v>0</v>
      </c>
      <c r="M11" s="4" t="s">
        <v>33</v>
      </c>
      <c r="N11" s="3">
        <v>1</v>
      </c>
      <c r="O11" s="6">
        <v>1</v>
      </c>
      <c r="P11" s="4" t="s">
        <v>33</v>
      </c>
      <c r="Q11" s="4" t="s">
        <v>33</v>
      </c>
      <c r="R11" s="4" t="s">
        <v>33</v>
      </c>
      <c r="S11" s="6">
        <v>0</v>
      </c>
      <c r="T11" s="4" t="s">
        <v>33</v>
      </c>
      <c r="U11" s="4" t="s">
        <v>33</v>
      </c>
      <c r="V11" s="4" t="s">
        <v>33</v>
      </c>
      <c r="W11" s="4" t="s">
        <v>33</v>
      </c>
      <c r="X11" s="4" t="s">
        <v>33</v>
      </c>
      <c r="Y11" s="4" t="s">
        <v>33</v>
      </c>
      <c r="Z11" s="4" t="s">
        <v>33</v>
      </c>
      <c r="AA11" s="4" t="s">
        <v>33</v>
      </c>
      <c r="AB11" s="4" t="s">
        <v>33</v>
      </c>
      <c r="AC11" s="4" t="s">
        <v>33</v>
      </c>
    </row>
    <row r="12" spans="1:29" ht="12.75" x14ac:dyDescent="0.2">
      <c r="A12" s="3" t="s">
        <v>3</v>
      </c>
      <c r="B12" s="3" t="s">
        <v>8</v>
      </c>
      <c r="C12" s="3" t="s">
        <v>30</v>
      </c>
      <c r="D12" s="4" t="s">
        <v>33</v>
      </c>
      <c r="E12" s="3">
        <v>3</v>
      </c>
      <c r="F12" s="3">
        <v>23</v>
      </c>
      <c r="G12" s="6">
        <v>26</v>
      </c>
      <c r="H12" s="10">
        <v>10</v>
      </c>
      <c r="I12" s="6">
        <v>2</v>
      </c>
      <c r="J12" s="6">
        <v>3</v>
      </c>
      <c r="K12" s="4" t="s">
        <v>33</v>
      </c>
      <c r="L12" s="6">
        <v>1</v>
      </c>
      <c r="M12" s="4" t="s">
        <v>33</v>
      </c>
      <c r="N12" s="3">
        <v>0</v>
      </c>
      <c r="O12" s="6">
        <v>1</v>
      </c>
      <c r="P12" s="4" t="s">
        <v>33</v>
      </c>
      <c r="Q12" s="4" t="s">
        <v>33</v>
      </c>
      <c r="R12" s="4" t="s">
        <v>33</v>
      </c>
      <c r="S12" s="6">
        <v>1</v>
      </c>
      <c r="T12" s="4" t="s">
        <v>33</v>
      </c>
      <c r="U12" s="4" t="s">
        <v>33</v>
      </c>
      <c r="V12" s="4" t="s">
        <v>33</v>
      </c>
      <c r="W12" s="4" t="s">
        <v>33</v>
      </c>
      <c r="X12" s="4" t="s">
        <v>33</v>
      </c>
      <c r="Y12" s="4" t="s">
        <v>33</v>
      </c>
      <c r="Z12" s="4" t="s">
        <v>33</v>
      </c>
      <c r="AA12" s="4" t="s">
        <v>33</v>
      </c>
      <c r="AB12" s="4" t="s">
        <v>33</v>
      </c>
      <c r="AC12" s="4" t="s">
        <v>33</v>
      </c>
    </row>
    <row r="13" spans="1:29" ht="12.75" x14ac:dyDescent="0.2">
      <c r="A13" s="3" t="s">
        <v>9</v>
      </c>
      <c r="B13" s="3" t="s">
        <v>4</v>
      </c>
      <c r="C13" s="3" t="s">
        <v>29</v>
      </c>
      <c r="D13" s="8">
        <v>0</v>
      </c>
      <c r="E13" s="3">
        <v>0</v>
      </c>
      <c r="F13" s="3">
        <v>12</v>
      </c>
      <c r="G13" s="6">
        <v>27</v>
      </c>
      <c r="H13" s="10">
        <v>5</v>
      </c>
      <c r="I13" s="4" t="s">
        <v>33</v>
      </c>
      <c r="J13" s="6">
        <v>1</v>
      </c>
      <c r="K13" s="4" t="s">
        <v>33</v>
      </c>
      <c r="L13" s="4" t="s">
        <v>33</v>
      </c>
      <c r="M13" s="4" t="s">
        <v>33</v>
      </c>
      <c r="N13" s="4" t="s">
        <v>33</v>
      </c>
      <c r="O13" s="4" t="s">
        <v>33</v>
      </c>
      <c r="P13" s="4" t="s">
        <v>33</v>
      </c>
      <c r="Q13" s="4" t="s">
        <v>33</v>
      </c>
      <c r="R13" s="4" t="s">
        <v>33</v>
      </c>
      <c r="S13" s="4" t="s">
        <v>33</v>
      </c>
      <c r="T13" s="4" t="s">
        <v>33</v>
      </c>
      <c r="U13" s="4" t="s">
        <v>33</v>
      </c>
      <c r="V13" s="4" t="s">
        <v>33</v>
      </c>
      <c r="W13" s="4" t="s">
        <v>33</v>
      </c>
      <c r="X13" s="4" t="s">
        <v>33</v>
      </c>
      <c r="Y13" s="4" t="s">
        <v>33</v>
      </c>
      <c r="Z13" s="4" t="s">
        <v>33</v>
      </c>
      <c r="AA13" s="4" t="s">
        <v>33</v>
      </c>
      <c r="AB13" s="4" t="s">
        <v>33</v>
      </c>
      <c r="AC13" s="4" t="s">
        <v>33</v>
      </c>
    </row>
    <row r="14" spans="1:29" ht="12.75" x14ac:dyDescent="0.2">
      <c r="A14" s="3" t="s">
        <v>9</v>
      </c>
      <c r="B14" s="3" t="s">
        <v>4</v>
      </c>
      <c r="C14" s="3" t="s">
        <v>30</v>
      </c>
      <c r="D14" s="8">
        <v>5</v>
      </c>
      <c r="E14" s="3">
        <v>2</v>
      </c>
      <c r="F14" s="3">
        <v>29</v>
      </c>
      <c r="G14" s="6">
        <v>17</v>
      </c>
      <c r="H14" s="10">
        <v>1</v>
      </c>
      <c r="I14" s="4" t="s">
        <v>33</v>
      </c>
      <c r="J14" s="6">
        <v>0</v>
      </c>
      <c r="K14" s="4" t="s">
        <v>33</v>
      </c>
      <c r="L14" s="4" t="s">
        <v>33</v>
      </c>
      <c r="M14" s="4" t="s">
        <v>33</v>
      </c>
      <c r="N14" s="4" t="s">
        <v>33</v>
      </c>
      <c r="O14" s="4" t="s">
        <v>33</v>
      </c>
      <c r="P14" s="4" t="s">
        <v>33</v>
      </c>
      <c r="Q14" s="4" t="s">
        <v>33</v>
      </c>
      <c r="R14" s="4" t="s">
        <v>33</v>
      </c>
      <c r="S14" s="4" t="s">
        <v>33</v>
      </c>
      <c r="T14" s="4" t="s">
        <v>33</v>
      </c>
      <c r="U14" s="4" t="s">
        <v>33</v>
      </c>
      <c r="V14" s="4" t="s">
        <v>33</v>
      </c>
      <c r="W14" s="4" t="s">
        <v>33</v>
      </c>
      <c r="X14" s="4" t="s">
        <v>33</v>
      </c>
      <c r="Y14" s="4" t="s">
        <v>33</v>
      </c>
      <c r="Z14" s="4" t="s">
        <v>33</v>
      </c>
      <c r="AA14" s="4" t="s">
        <v>33</v>
      </c>
      <c r="AB14" s="4" t="s">
        <v>33</v>
      </c>
      <c r="AC14" s="4" t="s">
        <v>33</v>
      </c>
    </row>
    <row r="15" spans="1:29" ht="12.75" x14ac:dyDescent="0.2">
      <c r="A15" s="3" t="s">
        <v>9</v>
      </c>
      <c r="B15" s="3" t="s">
        <v>5</v>
      </c>
      <c r="C15" s="3" t="s">
        <v>29</v>
      </c>
      <c r="D15" s="4" t="s">
        <v>33</v>
      </c>
      <c r="E15" s="3">
        <v>1</v>
      </c>
      <c r="F15" s="3">
        <v>11</v>
      </c>
      <c r="G15" s="6">
        <v>28</v>
      </c>
      <c r="H15" s="10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4" t="s">
        <v>33</v>
      </c>
      <c r="N15" s="4" t="s">
        <v>33</v>
      </c>
      <c r="O15" s="4" t="s">
        <v>33</v>
      </c>
      <c r="P15" s="4" t="s">
        <v>33</v>
      </c>
      <c r="Q15" s="4" t="s">
        <v>33</v>
      </c>
      <c r="R15" s="4" t="s">
        <v>33</v>
      </c>
      <c r="S15" s="4" t="s">
        <v>33</v>
      </c>
      <c r="T15" s="4" t="s">
        <v>33</v>
      </c>
      <c r="U15" s="4" t="s">
        <v>33</v>
      </c>
      <c r="V15" s="4" t="s">
        <v>33</v>
      </c>
      <c r="W15" s="4" t="s">
        <v>33</v>
      </c>
      <c r="X15" s="4" t="s">
        <v>33</v>
      </c>
      <c r="Y15" s="4" t="s">
        <v>33</v>
      </c>
      <c r="Z15" s="4" t="s">
        <v>33</v>
      </c>
      <c r="AA15" s="4" t="s">
        <v>33</v>
      </c>
      <c r="AB15" s="4" t="s">
        <v>33</v>
      </c>
      <c r="AC15" s="4" t="s">
        <v>33</v>
      </c>
    </row>
    <row r="16" spans="1:29" ht="12.75" x14ac:dyDescent="0.2">
      <c r="A16" s="3" t="s">
        <v>9</v>
      </c>
      <c r="B16" s="3" t="s">
        <v>5</v>
      </c>
      <c r="C16" s="3" t="s">
        <v>30</v>
      </c>
      <c r="D16" s="4" t="s">
        <v>33</v>
      </c>
      <c r="E16" s="3">
        <v>8</v>
      </c>
      <c r="F16" s="3">
        <v>30</v>
      </c>
      <c r="G16" s="6">
        <v>12</v>
      </c>
      <c r="H16" s="10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4" t="s">
        <v>33</v>
      </c>
      <c r="N16" s="4" t="s">
        <v>33</v>
      </c>
      <c r="O16" s="4" t="s">
        <v>33</v>
      </c>
      <c r="P16" s="4" t="s">
        <v>33</v>
      </c>
      <c r="Q16" s="4" t="s">
        <v>33</v>
      </c>
      <c r="R16" s="4" t="s">
        <v>33</v>
      </c>
      <c r="S16" s="4" t="s">
        <v>33</v>
      </c>
      <c r="T16" s="4" t="s">
        <v>33</v>
      </c>
      <c r="U16" s="4" t="s">
        <v>33</v>
      </c>
      <c r="V16" s="4" t="s">
        <v>33</v>
      </c>
      <c r="W16" s="4" t="s">
        <v>33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4" t="s">
        <v>33</v>
      </c>
    </row>
    <row r="17" spans="1:29" ht="14.25" customHeight="1" x14ac:dyDescent="0.2">
      <c r="A17" s="3" t="s">
        <v>9</v>
      </c>
      <c r="B17" s="3" t="s">
        <v>6</v>
      </c>
      <c r="C17" s="3" t="s">
        <v>29</v>
      </c>
      <c r="D17" s="8">
        <v>0</v>
      </c>
      <c r="E17" s="3">
        <v>3</v>
      </c>
      <c r="F17" s="3">
        <v>13</v>
      </c>
      <c r="G17" s="6">
        <v>34</v>
      </c>
      <c r="H17" s="10">
        <v>6</v>
      </c>
      <c r="I17" s="4" t="s">
        <v>33</v>
      </c>
      <c r="J17" s="4" t="s">
        <v>33</v>
      </c>
      <c r="K17" s="4" t="s">
        <v>33</v>
      </c>
      <c r="L17" s="4" t="s">
        <v>33</v>
      </c>
      <c r="M17" s="4" t="s">
        <v>33</v>
      </c>
      <c r="N17" s="4" t="s">
        <v>33</v>
      </c>
      <c r="O17" s="4" t="s">
        <v>33</v>
      </c>
      <c r="P17" s="4" t="s">
        <v>33</v>
      </c>
      <c r="Q17" s="4" t="s">
        <v>33</v>
      </c>
      <c r="R17" s="4" t="s">
        <v>33</v>
      </c>
      <c r="S17" s="4" t="s">
        <v>33</v>
      </c>
      <c r="T17" s="4" t="s">
        <v>33</v>
      </c>
      <c r="U17" s="4" t="s">
        <v>33</v>
      </c>
      <c r="V17" s="4" t="s">
        <v>33</v>
      </c>
      <c r="W17" s="4" t="s">
        <v>33</v>
      </c>
      <c r="X17" s="4" t="s">
        <v>33</v>
      </c>
      <c r="Y17" s="6">
        <v>1</v>
      </c>
      <c r="Z17" s="4" t="s">
        <v>33</v>
      </c>
      <c r="AA17" s="4" t="s">
        <v>33</v>
      </c>
      <c r="AB17" s="4" t="s">
        <v>33</v>
      </c>
      <c r="AC17" s="4" t="s">
        <v>33</v>
      </c>
    </row>
    <row r="18" spans="1:29" ht="12.75" x14ac:dyDescent="0.2">
      <c r="A18" s="3" t="s">
        <v>9</v>
      </c>
      <c r="B18" s="3" t="s">
        <v>6</v>
      </c>
      <c r="C18" s="3" t="s">
        <v>30</v>
      </c>
      <c r="D18" s="8">
        <v>2</v>
      </c>
      <c r="E18" s="3">
        <v>4</v>
      </c>
      <c r="F18" s="3">
        <v>21</v>
      </c>
      <c r="G18" s="6">
        <v>17</v>
      </c>
      <c r="H18" s="10">
        <v>0</v>
      </c>
      <c r="I18" s="4" t="s">
        <v>33</v>
      </c>
      <c r="J18" s="4" t="s">
        <v>33</v>
      </c>
      <c r="K18" s="4" t="s">
        <v>33</v>
      </c>
      <c r="L18" s="4" t="s">
        <v>33</v>
      </c>
      <c r="M18" s="4" t="s">
        <v>33</v>
      </c>
      <c r="N18" s="4" t="s">
        <v>33</v>
      </c>
      <c r="O18" s="4" t="s">
        <v>33</v>
      </c>
      <c r="P18" s="4" t="s">
        <v>33</v>
      </c>
      <c r="Q18" s="4" t="s">
        <v>33</v>
      </c>
      <c r="R18" s="4" t="s">
        <v>33</v>
      </c>
      <c r="S18" s="4" t="s">
        <v>33</v>
      </c>
      <c r="T18" s="4" t="s">
        <v>33</v>
      </c>
      <c r="U18" s="4" t="s">
        <v>33</v>
      </c>
      <c r="V18" s="4" t="s">
        <v>33</v>
      </c>
      <c r="W18" s="4" t="s">
        <v>33</v>
      </c>
      <c r="X18" s="4" t="s">
        <v>33</v>
      </c>
      <c r="Y18" s="6">
        <v>0</v>
      </c>
      <c r="Z18" s="4" t="s">
        <v>33</v>
      </c>
      <c r="AA18" s="4" t="s">
        <v>33</v>
      </c>
      <c r="AB18" s="4" t="s">
        <v>33</v>
      </c>
      <c r="AC18" s="4" t="s">
        <v>33</v>
      </c>
    </row>
    <row r="19" spans="1:29" ht="12.75" x14ac:dyDescent="0.2">
      <c r="A19" s="3" t="s">
        <v>9</v>
      </c>
      <c r="B19" s="3" t="s">
        <v>7</v>
      </c>
      <c r="C19" s="3" t="s">
        <v>29</v>
      </c>
      <c r="D19" s="4" t="s">
        <v>33</v>
      </c>
      <c r="E19" s="3">
        <v>3</v>
      </c>
      <c r="F19" s="3">
        <v>11</v>
      </c>
      <c r="G19" s="6">
        <v>31</v>
      </c>
      <c r="H19" s="10">
        <v>9</v>
      </c>
      <c r="I19" s="6">
        <v>1</v>
      </c>
      <c r="J19" s="4" t="s">
        <v>33</v>
      </c>
      <c r="K19" s="4" t="s">
        <v>33</v>
      </c>
      <c r="L19" s="4" t="s">
        <v>33</v>
      </c>
      <c r="M19" s="4" t="s">
        <v>33</v>
      </c>
      <c r="N19" s="4" t="s">
        <v>33</v>
      </c>
      <c r="O19" s="4" t="s">
        <v>33</v>
      </c>
      <c r="P19" s="4" t="s">
        <v>33</v>
      </c>
      <c r="Q19" s="4" t="s">
        <v>33</v>
      </c>
      <c r="R19" s="4" t="s">
        <v>33</v>
      </c>
      <c r="S19" s="4" t="s">
        <v>33</v>
      </c>
      <c r="T19" s="4" t="s">
        <v>33</v>
      </c>
      <c r="U19" s="4" t="s">
        <v>33</v>
      </c>
      <c r="V19" s="4" t="s">
        <v>33</v>
      </c>
      <c r="W19" s="4" t="s">
        <v>33</v>
      </c>
      <c r="X19" s="4" t="s">
        <v>33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</row>
    <row r="20" spans="1:29" ht="12.75" x14ac:dyDescent="0.2">
      <c r="A20" s="3" t="s">
        <v>9</v>
      </c>
      <c r="B20" s="3" t="s">
        <v>7</v>
      </c>
      <c r="C20" s="3" t="s">
        <v>30</v>
      </c>
      <c r="D20" s="4" t="s">
        <v>33</v>
      </c>
      <c r="E20" s="3">
        <v>5</v>
      </c>
      <c r="F20" s="3">
        <v>19</v>
      </c>
      <c r="G20" s="6">
        <v>23</v>
      </c>
      <c r="H20" s="10">
        <v>1</v>
      </c>
      <c r="I20" s="6">
        <v>0</v>
      </c>
      <c r="J20" s="4" t="s">
        <v>33</v>
      </c>
      <c r="K20" s="4" t="s">
        <v>33</v>
      </c>
      <c r="L20" s="4" t="s">
        <v>33</v>
      </c>
      <c r="M20" s="4" t="s">
        <v>33</v>
      </c>
      <c r="N20" s="4" t="s">
        <v>33</v>
      </c>
      <c r="O20" s="4" t="s">
        <v>33</v>
      </c>
      <c r="P20" s="4" t="s">
        <v>33</v>
      </c>
      <c r="Q20" s="4" t="s">
        <v>33</v>
      </c>
      <c r="R20" s="4" t="s">
        <v>33</v>
      </c>
      <c r="S20" s="4" t="s">
        <v>33</v>
      </c>
      <c r="T20" s="4" t="s">
        <v>33</v>
      </c>
      <c r="U20" s="4" t="s">
        <v>33</v>
      </c>
      <c r="V20" s="4" t="s">
        <v>33</v>
      </c>
      <c r="W20" s="4" t="s">
        <v>33</v>
      </c>
      <c r="X20" s="4" t="s">
        <v>33</v>
      </c>
      <c r="Y20" s="4" t="s">
        <v>33</v>
      </c>
      <c r="Z20" s="4" t="s">
        <v>33</v>
      </c>
      <c r="AA20" s="4" t="s">
        <v>33</v>
      </c>
      <c r="AB20" s="4" t="s">
        <v>33</v>
      </c>
      <c r="AC20" s="4" t="s">
        <v>33</v>
      </c>
    </row>
    <row r="21" spans="1:29" ht="12.75" x14ac:dyDescent="0.2">
      <c r="A21" s="3" t="s">
        <v>9</v>
      </c>
      <c r="B21" s="3" t="s">
        <v>8</v>
      </c>
      <c r="C21" s="3" t="s">
        <v>29</v>
      </c>
      <c r="D21" s="8">
        <v>1</v>
      </c>
      <c r="E21" s="3">
        <v>0</v>
      </c>
      <c r="F21" s="3">
        <v>12</v>
      </c>
      <c r="G21" s="6">
        <v>25</v>
      </c>
      <c r="H21" s="10">
        <v>12</v>
      </c>
      <c r="I21" s="6">
        <v>3</v>
      </c>
      <c r="J21" s="4" t="s">
        <v>33</v>
      </c>
      <c r="K21" s="4" t="s">
        <v>33</v>
      </c>
      <c r="L21" s="4" t="s">
        <v>33</v>
      </c>
      <c r="M21" s="4" t="s">
        <v>33</v>
      </c>
      <c r="N21" s="4" t="s">
        <v>33</v>
      </c>
      <c r="O21" s="4" t="s">
        <v>33</v>
      </c>
      <c r="P21" s="4" t="s">
        <v>33</v>
      </c>
      <c r="Q21" s="4" t="s">
        <v>33</v>
      </c>
      <c r="R21" s="4" t="s">
        <v>33</v>
      </c>
      <c r="S21" s="4" t="s">
        <v>33</v>
      </c>
      <c r="T21" s="4" t="s">
        <v>33</v>
      </c>
      <c r="U21" s="4" t="s">
        <v>33</v>
      </c>
      <c r="V21" s="4" t="s">
        <v>33</v>
      </c>
      <c r="W21" s="4" t="s">
        <v>33</v>
      </c>
      <c r="X21" s="4" t="s">
        <v>33</v>
      </c>
      <c r="Y21" s="4" t="s">
        <v>33</v>
      </c>
      <c r="Z21" s="4" t="s">
        <v>33</v>
      </c>
      <c r="AA21" s="4" t="s">
        <v>33</v>
      </c>
      <c r="AB21" s="4" t="s">
        <v>33</v>
      </c>
      <c r="AC21" s="4" t="s">
        <v>33</v>
      </c>
    </row>
    <row r="22" spans="1:29" ht="12.75" x14ac:dyDescent="0.2">
      <c r="A22" s="3" t="s">
        <v>9</v>
      </c>
      <c r="B22" s="3" t="s">
        <v>8</v>
      </c>
      <c r="C22" s="3" t="s">
        <v>30</v>
      </c>
      <c r="D22" s="8">
        <v>2</v>
      </c>
      <c r="E22" s="3">
        <v>3</v>
      </c>
      <c r="F22" s="3">
        <v>22</v>
      </c>
      <c r="G22" s="6">
        <v>21</v>
      </c>
      <c r="H22" s="10">
        <v>0</v>
      </c>
      <c r="I22" s="6">
        <v>0</v>
      </c>
      <c r="J22" s="4" t="s">
        <v>33</v>
      </c>
      <c r="K22" s="4" t="s">
        <v>33</v>
      </c>
      <c r="L22" s="4" t="s">
        <v>33</v>
      </c>
      <c r="M22" s="4" t="s">
        <v>33</v>
      </c>
      <c r="N22" s="4" t="s">
        <v>33</v>
      </c>
      <c r="O22" s="4" t="s">
        <v>33</v>
      </c>
      <c r="P22" s="4" t="s">
        <v>33</v>
      </c>
      <c r="Q22" s="4" t="s">
        <v>33</v>
      </c>
      <c r="R22" s="4" t="s">
        <v>33</v>
      </c>
      <c r="S22" s="4" t="s">
        <v>33</v>
      </c>
      <c r="T22" s="4" t="s">
        <v>33</v>
      </c>
      <c r="U22" s="4" t="s">
        <v>33</v>
      </c>
      <c r="V22" s="4" t="s">
        <v>33</v>
      </c>
      <c r="W22" s="4" t="s">
        <v>33</v>
      </c>
      <c r="X22" s="4" t="s">
        <v>33</v>
      </c>
      <c r="Y22" s="4" t="s">
        <v>33</v>
      </c>
      <c r="Z22" s="4" t="s">
        <v>33</v>
      </c>
      <c r="AA22" s="4" t="s">
        <v>33</v>
      </c>
      <c r="AB22" s="4" t="s">
        <v>33</v>
      </c>
      <c r="AC22" s="4" t="s">
        <v>33</v>
      </c>
    </row>
    <row r="23" spans="1:29" ht="12.75" x14ac:dyDescent="0.2">
      <c r="A23" s="3" t="s">
        <v>10</v>
      </c>
      <c r="B23" s="3" t="s">
        <v>4</v>
      </c>
      <c r="C23" s="3" t="s">
        <v>29</v>
      </c>
      <c r="D23" s="4" t="s">
        <v>33</v>
      </c>
      <c r="E23" s="4" t="s">
        <v>33</v>
      </c>
      <c r="F23" s="3">
        <v>7</v>
      </c>
      <c r="G23" s="6">
        <v>22</v>
      </c>
      <c r="H23" s="10">
        <v>27</v>
      </c>
      <c r="I23" s="6">
        <v>15</v>
      </c>
      <c r="J23" s="6">
        <v>6</v>
      </c>
      <c r="K23" s="6">
        <v>1</v>
      </c>
      <c r="L23" s="4" t="s">
        <v>33</v>
      </c>
      <c r="M23" s="4" t="s">
        <v>33</v>
      </c>
      <c r="N23" s="4" t="s">
        <v>33</v>
      </c>
      <c r="O23" s="4" t="s">
        <v>33</v>
      </c>
      <c r="P23" s="4" t="s">
        <v>33</v>
      </c>
      <c r="Q23" s="4" t="s">
        <v>33</v>
      </c>
      <c r="R23" s="4" t="s">
        <v>33</v>
      </c>
      <c r="S23" s="4" t="s">
        <v>33</v>
      </c>
      <c r="T23" s="4" t="s">
        <v>33</v>
      </c>
      <c r="U23" s="4" t="s">
        <v>33</v>
      </c>
      <c r="V23" s="4" t="s">
        <v>33</v>
      </c>
      <c r="W23" s="4" t="s">
        <v>33</v>
      </c>
      <c r="X23" s="4" t="s">
        <v>33</v>
      </c>
      <c r="Y23" s="4" t="s">
        <v>33</v>
      </c>
      <c r="Z23" s="4" t="s">
        <v>33</v>
      </c>
      <c r="AA23" s="4" t="s">
        <v>33</v>
      </c>
      <c r="AB23" s="4" t="s">
        <v>33</v>
      </c>
      <c r="AC23" s="4" t="s">
        <v>33</v>
      </c>
    </row>
    <row r="24" spans="1:29" ht="12.75" x14ac:dyDescent="0.2">
      <c r="A24" s="3" t="s">
        <v>10</v>
      </c>
      <c r="B24" s="3" t="s">
        <v>4</v>
      </c>
      <c r="C24" s="3" t="s">
        <v>30</v>
      </c>
      <c r="D24" s="4" t="s">
        <v>33</v>
      </c>
      <c r="E24" s="4" t="s">
        <v>33</v>
      </c>
      <c r="F24" s="3">
        <v>11</v>
      </c>
      <c r="G24" s="6">
        <v>28</v>
      </c>
      <c r="H24" s="10">
        <v>20</v>
      </c>
      <c r="I24" s="6">
        <v>14</v>
      </c>
      <c r="J24" s="6">
        <v>3</v>
      </c>
      <c r="K24" s="6">
        <v>0</v>
      </c>
      <c r="L24" s="4" t="s">
        <v>33</v>
      </c>
      <c r="M24" s="4" t="s">
        <v>33</v>
      </c>
      <c r="N24" s="4" t="s">
        <v>33</v>
      </c>
      <c r="O24" s="4" t="s">
        <v>33</v>
      </c>
      <c r="P24" s="4" t="s">
        <v>33</v>
      </c>
      <c r="Q24" s="4" t="s">
        <v>33</v>
      </c>
      <c r="R24" s="4" t="s">
        <v>33</v>
      </c>
      <c r="S24" s="4" t="s">
        <v>33</v>
      </c>
      <c r="T24" s="4" t="s">
        <v>33</v>
      </c>
      <c r="U24" s="4" t="s">
        <v>33</v>
      </c>
      <c r="V24" s="4" t="s">
        <v>33</v>
      </c>
      <c r="W24" s="4" t="s">
        <v>33</v>
      </c>
      <c r="X24" s="4" t="s">
        <v>33</v>
      </c>
      <c r="Y24" s="4" t="s">
        <v>33</v>
      </c>
      <c r="Z24" s="4" t="s">
        <v>33</v>
      </c>
      <c r="AA24" s="4" t="s">
        <v>33</v>
      </c>
      <c r="AB24" s="4" t="s">
        <v>33</v>
      </c>
      <c r="AC24" s="4" t="s">
        <v>33</v>
      </c>
    </row>
    <row r="25" spans="1:29" ht="12.75" x14ac:dyDescent="0.2">
      <c r="A25" s="3" t="s">
        <v>10</v>
      </c>
      <c r="B25" s="3" t="s">
        <v>5</v>
      </c>
      <c r="C25" s="3" t="s">
        <v>29</v>
      </c>
      <c r="D25" s="4" t="s">
        <v>33</v>
      </c>
      <c r="E25" s="3">
        <v>0</v>
      </c>
      <c r="F25" s="3">
        <v>1</v>
      </c>
      <c r="G25" s="6">
        <v>11</v>
      </c>
      <c r="H25" s="10">
        <v>20</v>
      </c>
      <c r="I25" s="6">
        <v>39</v>
      </c>
      <c r="J25" s="6">
        <v>22</v>
      </c>
      <c r="K25" s="6">
        <v>7</v>
      </c>
      <c r="L25" s="6">
        <v>1</v>
      </c>
      <c r="M25" s="4" t="s">
        <v>33</v>
      </c>
      <c r="N25" s="3">
        <v>1</v>
      </c>
      <c r="O25" s="4" t="s">
        <v>33</v>
      </c>
      <c r="P25" s="4" t="s">
        <v>33</v>
      </c>
      <c r="Q25" s="4" t="s">
        <v>33</v>
      </c>
      <c r="R25" s="6">
        <v>1</v>
      </c>
      <c r="S25" s="4" t="s">
        <v>33</v>
      </c>
      <c r="T25" s="4" t="s">
        <v>33</v>
      </c>
      <c r="U25" s="4" t="s">
        <v>33</v>
      </c>
      <c r="V25" s="4" t="s">
        <v>33</v>
      </c>
      <c r="W25" s="4" t="s">
        <v>33</v>
      </c>
      <c r="X25" s="4" t="s">
        <v>33</v>
      </c>
      <c r="Y25" s="4" t="s">
        <v>33</v>
      </c>
      <c r="Z25" s="6">
        <v>0</v>
      </c>
      <c r="AA25" s="4" t="s">
        <v>33</v>
      </c>
      <c r="AB25" s="4" t="s">
        <v>33</v>
      </c>
      <c r="AC25" s="4" t="s">
        <v>33</v>
      </c>
    </row>
    <row r="26" spans="1:29" ht="12.75" x14ac:dyDescent="0.2">
      <c r="A26" s="3" t="s">
        <v>10</v>
      </c>
      <c r="B26" s="3" t="s">
        <v>5</v>
      </c>
      <c r="C26" s="3" t="s">
        <v>30</v>
      </c>
      <c r="D26" s="4" t="s">
        <v>33</v>
      </c>
      <c r="E26" s="3">
        <v>1</v>
      </c>
      <c r="F26" s="3">
        <v>5</v>
      </c>
      <c r="G26" s="6">
        <v>20</v>
      </c>
      <c r="H26" s="10">
        <v>17</v>
      </c>
      <c r="I26" s="6">
        <v>18</v>
      </c>
      <c r="J26" s="6">
        <v>16</v>
      </c>
      <c r="K26" s="6">
        <v>3</v>
      </c>
      <c r="L26" s="6">
        <v>2</v>
      </c>
      <c r="M26" s="4" t="s">
        <v>33</v>
      </c>
      <c r="N26" s="3">
        <v>2</v>
      </c>
      <c r="O26" s="4" t="s">
        <v>33</v>
      </c>
      <c r="P26" s="4" t="s">
        <v>33</v>
      </c>
      <c r="Q26" s="4" t="s">
        <v>33</v>
      </c>
      <c r="R26" s="6">
        <v>0</v>
      </c>
      <c r="S26" s="4" t="s">
        <v>33</v>
      </c>
      <c r="T26" s="4" t="s">
        <v>33</v>
      </c>
      <c r="U26" s="4" t="s">
        <v>33</v>
      </c>
      <c r="V26" s="4" t="s">
        <v>33</v>
      </c>
      <c r="W26" s="4" t="s">
        <v>33</v>
      </c>
      <c r="X26" s="4" t="s">
        <v>33</v>
      </c>
      <c r="Y26" s="4" t="s">
        <v>33</v>
      </c>
      <c r="Z26" s="6">
        <v>1</v>
      </c>
      <c r="AA26" s="4" t="s">
        <v>33</v>
      </c>
      <c r="AB26" s="4" t="s">
        <v>33</v>
      </c>
      <c r="AC26" s="4" t="s">
        <v>33</v>
      </c>
    </row>
    <row r="27" spans="1:29" ht="12.75" x14ac:dyDescent="0.2">
      <c r="A27" s="3" t="s">
        <v>10</v>
      </c>
      <c r="B27" s="3" t="s">
        <v>6</v>
      </c>
      <c r="C27" s="3" t="s">
        <v>29</v>
      </c>
      <c r="D27" s="4" t="s">
        <v>33</v>
      </c>
      <c r="E27" s="3">
        <v>0</v>
      </c>
      <c r="F27" s="3">
        <v>3</v>
      </c>
      <c r="G27" s="6">
        <v>18</v>
      </c>
      <c r="H27" s="10">
        <v>20</v>
      </c>
      <c r="I27" s="6">
        <v>22</v>
      </c>
      <c r="J27" s="6">
        <v>9</v>
      </c>
      <c r="K27" s="6">
        <v>3</v>
      </c>
      <c r="L27" s="6">
        <v>1</v>
      </c>
      <c r="M27" s="4" t="s">
        <v>33</v>
      </c>
      <c r="N27" s="4" t="s">
        <v>33</v>
      </c>
      <c r="O27" s="4" t="s">
        <v>33</v>
      </c>
      <c r="P27" s="4" t="s">
        <v>33</v>
      </c>
      <c r="Q27" s="4" t="s">
        <v>33</v>
      </c>
      <c r="R27" s="4" t="s">
        <v>33</v>
      </c>
      <c r="S27" s="4" t="s">
        <v>33</v>
      </c>
      <c r="T27" s="4" t="s">
        <v>33</v>
      </c>
      <c r="U27" s="4" t="s">
        <v>33</v>
      </c>
      <c r="V27" s="4" t="s">
        <v>33</v>
      </c>
      <c r="W27" s="4" t="s">
        <v>33</v>
      </c>
      <c r="X27" s="4" t="s">
        <v>33</v>
      </c>
      <c r="Y27" s="4" t="s">
        <v>33</v>
      </c>
      <c r="Z27" s="4" t="s">
        <v>33</v>
      </c>
      <c r="AA27" s="4" t="s">
        <v>33</v>
      </c>
      <c r="AB27" s="4" t="s">
        <v>33</v>
      </c>
      <c r="AC27" s="4" t="s">
        <v>33</v>
      </c>
    </row>
    <row r="28" spans="1:29" ht="12.75" x14ac:dyDescent="0.2">
      <c r="A28" s="3" t="s">
        <v>10</v>
      </c>
      <c r="B28" s="3" t="s">
        <v>6</v>
      </c>
      <c r="C28" s="3" t="s">
        <v>30</v>
      </c>
      <c r="D28" s="4" t="s">
        <v>33</v>
      </c>
      <c r="E28" s="3">
        <v>1</v>
      </c>
      <c r="F28" s="3">
        <v>6</v>
      </c>
      <c r="G28" s="6">
        <v>14</v>
      </c>
      <c r="H28" s="10">
        <v>18</v>
      </c>
      <c r="I28" s="6">
        <v>16</v>
      </c>
      <c r="J28" s="6">
        <v>11</v>
      </c>
      <c r="K28" s="6">
        <v>2</v>
      </c>
      <c r="L28" s="6">
        <v>0</v>
      </c>
      <c r="M28" s="4" t="s">
        <v>33</v>
      </c>
      <c r="N28" s="4" t="s">
        <v>33</v>
      </c>
      <c r="O28" s="4" t="s">
        <v>33</v>
      </c>
      <c r="P28" s="4" t="s">
        <v>33</v>
      </c>
      <c r="Q28" s="4" t="s">
        <v>33</v>
      </c>
      <c r="R28" s="4" t="s">
        <v>33</v>
      </c>
      <c r="S28" s="4" t="s">
        <v>33</v>
      </c>
      <c r="T28" s="4" t="s">
        <v>33</v>
      </c>
      <c r="U28" s="4" t="s">
        <v>33</v>
      </c>
      <c r="V28" s="4" t="s">
        <v>33</v>
      </c>
      <c r="W28" s="4" t="s">
        <v>33</v>
      </c>
      <c r="X28" s="4" t="s">
        <v>33</v>
      </c>
      <c r="Y28" s="4" t="s">
        <v>33</v>
      </c>
      <c r="Z28" s="4" t="s">
        <v>33</v>
      </c>
      <c r="AA28" s="4" t="s">
        <v>33</v>
      </c>
      <c r="AB28" s="4" t="s">
        <v>33</v>
      </c>
      <c r="AC28" s="4" t="s">
        <v>33</v>
      </c>
    </row>
    <row r="29" spans="1:29" ht="12.75" x14ac:dyDescent="0.2">
      <c r="A29" s="3" t="s">
        <v>10</v>
      </c>
      <c r="B29" s="3" t="s">
        <v>7</v>
      </c>
      <c r="C29" s="3" t="s">
        <v>29</v>
      </c>
      <c r="D29" s="8">
        <v>0</v>
      </c>
      <c r="E29" s="4" t="s">
        <v>33</v>
      </c>
      <c r="F29" s="3">
        <v>3</v>
      </c>
      <c r="G29" s="6">
        <v>11</v>
      </c>
      <c r="H29" s="10">
        <v>26</v>
      </c>
      <c r="I29" s="6">
        <v>25</v>
      </c>
      <c r="J29" s="6">
        <v>8</v>
      </c>
      <c r="K29" s="6">
        <v>3</v>
      </c>
      <c r="L29" s="6">
        <v>1</v>
      </c>
      <c r="M29" s="4" t="s">
        <v>33</v>
      </c>
      <c r="N29" s="3">
        <v>1</v>
      </c>
      <c r="O29" s="4" t="s">
        <v>33</v>
      </c>
      <c r="P29" s="4" t="s">
        <v>33</v>
      </c>
      <c r="Q29" s="4" t="s">
        <v>33</v>
      </c>
      <c r="R29" s="4" t="s">
        <v>33</v>
      </c>
      <c r="S29" s="4" t="s">
        <v>33</v>
      </c>
      <c r="T29" s="4" t="s">
        <v>33</v>
      </c>
      <c r="U29" s="6">
        <v>1</v>
      </c>
      <c r="V29" s="4" t="s">
        <v>33</v>
      </c>
      <c r="W29" s="4" t="s">
        <v>33</v>
      </c>
      <c r="X29" s="4" t="s">
        <v>33</v>
      </c>
      <c r="Y29" s="4" t="s">
        <v>33</v>
      </c>
      <c r="Z29" s="4" t="s">
        <v>33</v>
      </c>
      <c r="AA29" s="4" t="s">
        <v>33</v>
      </c>
      <c r="AB29" s="4" t="s">
        <v>33</v>
      </c>
      <c r="AC29" s="4" t="s">
        <v>33</v>
      </c>
    </row>
    <row r="30" spans="1:29" ht="12.75" x14ac:dyDescent="0.2">
      <c r="A30" s="3" t="s">
        <v>10</v>
      </c>
      <c r="B30" s="3" t="s">
        <v>7</v>
      </c>
      <c r="C30" s="3" t="s">
        <v>30</v>
      </c>
      <c r="D30" s="8">
        <v>1</v>
      </c>
      <c r="E30" s="4" t="s">
        <v>33</v>
      </c>
      <c r="F30" s="3">
        <v>6</v>
      </c>
      <c r="G30" s="6">
        <v>30</v>
      </c>
      <c r="H30" s="10">
        <v>21</v>
      </c>
      <c r="I30" s="6">
        <v>10</v>
      </c>
      <c r="J30" s="6">
        <v>5</v>
      </c>
      <c r="K30" s="6">
        <v>4</v>
      </c>
      <c r="L30" s="6">
        <v>0</v>
      </c>
      <c r="M30" s="4" t="s">
        <v>33</v>
      </c>
      <c r="N30" s="3">
        <v>0</v>
      </c>
      <c r="O30" s="4" t="s">
        <v>33</v>
      </c>
      <c r="P30" s="4" t="s">
        <v>33</v>
      </c>
      <c r="Q30" s="4" t="s">
        <v>33</v>
      </c>
      <c r="R30" s="4" t="s">
        <v>33</v>
      </c>
      <c r="S30" s="4" t="s">
        <v>33</v>
      </c>
      <c r="T30" s="4" t="s">
        <v>33</v>
      </c>
      <c r="U30" s="6">
        <v>0</v>
      </c>
      <c r="V30" s="4" t="s">
        <v>33</v>
      </c>
      <c r="W30" s="4" t="s">
        <v>33</v>
      </c>
      <c r="X30" s="4" t="s">
        <v>33</v>
      </c>
      <c r="Y30" s="4" t="s">
        <v>33</v>
      </c>
      <c r="Z30" s="4" t="s">
        <v>33</v>
      </c>
      <c r="AA30" s="4" t="s">
        <v>33</v>
      </c>
      <c r="AB30" s="4" t="s">
        <v>33</v>
      </c>
      <c r="AC30" s="4" t="s">
        <v>33</v>
      </c>
    </row>
    <row r="31" spans="1:29" ht="12.75" x14ac:dyDescent="0.2">
      <c r="A31" s="3" t="s">
        <v>10</v>
      </c>
      <c r="B31" s="3" t="s">
        <v>8</v>
      </c>
      <c r="C31" s="3" t="s">
        <v>29</v>
      </c>
      <c r="D31" s="4" t="s">
        <v>33</v>
      </c>
      <c r="E31" s="3">
        <v>1</v>
      </c>
      <c r="F31" s="3">
        <v>1</v>
      </c>
      <c r="G31" s="6">
        <v>11</v>
      </c>
      <c r="H31" s="10">
        <v>34</v>
      </c>
      <c r="I31" s="6">
        <v>25</v>
      </c>
      <c r="J31" s="6">
        <v>11</v>
      </c>
      <c r="K31" s="6">
        <v>4</v>
      </c>
      <c r="L31" s="4" t="s">
        <v>33</v>
      </c>
      <c r="M31" s="4" t="s">
        <v>33</v>
      </c>
      <c r="N31" s="3">
        <v>3</v>
      </c>
      <c r="O31" s="4" t="s">
        <v>33</v>
      </c>
      <c r="P31" s="4" t="s">
        <v>33</v>
      </c>
      <c r="Q31" s="4" t="s">
        <v>33</v>
      </c>
      <c r="R31" s="6">
        <v>1</v>
      </c>
      <c r="S31" s="4" t="s">
        <v>33</v>
      </c>
      <c r="T31" s="4" t="s">
        <v>33</v>
      </c>
      <c r="U31" s="6">
        <v>0</v>
      </c>
      <c r="V31" s="4" t="s">
        <v>33</v>
      </c>
      <c r="W31" s="4" t="s">
        <v>33</v>
      </c>
      <c r="X31" s="4" t="s">
        <v>33</v>
      </c>
      <c r="Y31" s="4" t="s">
        <v>33</v>
      </c>
      <c r="Z31" s="4" t="s">
        <v>33</v>
      </c>
      <c r="AA31" s="4" t="s">
        <v>33</v>
      </c>
      <c r="AB31" s="4" t="s">
        <v>33</v>
      </c>
      <c r="AC31" s="4" t="s">
        <v>33</v>
      </c>
    </row>
    <row r="32" spans="1:29" ht="12.75" x14ac:dyDescent="0.2">
      <c r="A32" s="3" t="s">
        <v>10</v>
      </c>
      <c r="B32" s="3" t="s">
        <v>8</v>
      </c>
      <c r="C32" s="3" t="s">
        <v>30</v>
      </c>
      <c r="D32" s="4" t="s">
        <v>33</v>
      </c>
      <c r="E32" s="3">
        <v>1</v>
      </c>
      <c r="F32" s="3">
        <v>7</v>
      </c>
      <c r="G32" s="6">
        <v>17</v>
      </c>
      <c r="H32" s="10">
        <v>26</v>
      </c>
      <c r="I32" s="6">
        <v>23</v>
      </c>
      <c r="J32" s="6">
        <v>7</v>
      </c>
      <c r="K32" s="6">
        <v>4</v>
      </c>
      <c r="L32" s="4" t="s">
        <v>33</v>
      </c>
      <c r="M32" s="4" t="s">
        <v>33</v>
      </c>
      <c r="N32" s="3">
        <v>0</v>
      </c>
      <c r="O32" s="4" t="s">
        <v>33</v>
      </c>
      <c r="P32" s="4" t="s">
        <v>33</v>
      </c>
      <c r="Q32" s="4" t="s">
        <v>33</v>
      </c>
      <c r="R32" s="6">
        <v>1</v>
      </c>
      <c r="S32" s="4" t="s">
        <v>33</v>
      </c>
      <c r="T32" s="4" t="s">
        <v>33</v>
      </c>
      <c r="U32" s="6">
        <v>1</v>
      </c>
      <c r="V32" s="4" t="s">
        <v>33</v>
      </c>
      <c r="W32" s="4" t="s">
        <v>33</v>
      </c>
      <c r="X32" s="4" t="s">
        <v>33</v>
      </c>
      <c r="Y32" s="4" t="s">
        <v>33</v>
      </c>
      <c r="Z32" s="4" t="s">
        <v>33</v>
      </c>
      <c r="AA32" s="4" t="s">
        <v>33</v>
      </c>
      <c r="AB32" s="4" t="s">
        <v>33</v>
      </c>
      <c r="AC32" s="4" t="s">
        <v>33</v>
      </c>
    </row>
    <row r="33" spans="1:29" ht="12.75" x14ac:dyDescent="0.2">
      <c r="A33" s="3" t="s">
        <v>11</v>
      </c>
      <c r="B33" s="3" t="s">
        <v>4</v>
      </c>
      <c r="C33" s="3" t="s">
        <v>29</v>
      </c>
      <c r="D33" s="8">
        <v>0</v>
      </c>
      <c r="E33" s="3">
        <v>0</v>
      </c>
      <c r="F33" s="3">
        <v>19</v>
      </c>
      <c r="G33" s="6">
        <v>20</v>
      </c>
      <c r="H33" s="10">
        <v>2</v>
      </c>
      <c r="I33" s="4" t="s">
        <v>33</v>
      </c>
      <c r="J33" s="4" t="s">
        <v>33</v>
      </c>
      <c r="K33" s="4" t="s">
        <v>33</v>
      </c>
      <c r="L33" s="4" t="s">
        <v>33</v>
      </c>
      <c r="M33" s="4" t="s">
        <v>33</v>
      </c>
      <c r="N33" s="4" t="s">
        <v>33</v>
      </c>
      <c r="O33" s="4" t="s">
        <v>33</v>
      </c>
      <c r="P33" s="4" t="s">
        <v>33</v>
      </c>
      <c r="Q33" s="4" t="s">
        <v>33</v>
      </c>
      <c r="R33" s="4" t="s">
        <v>33</v>
      </c>
      <c r="S33" s="4" t="s">
        <v>33</v>
      </c>
      <c r="T33" s="4" t="s">
        <v>33</v>
      </c>
      <c r="U33" s="4" t="s">
        <v>33</v>
      </c>
      <c r="V33" s="4" t="s">
        <v>33</v>
      </c>
      <c r="W33" s="4" t="s">
        <v>33</v>
      </c>
      <c r="X33" s="4" t="s">
        <v>33</v>
      </c>
      <c r="Y33" s="4" t="s">
        <v>33</v>
      </c>
      <c r="Z33" s="4" t="s">
        <v>33</v>
      </c>
      <c r="AA33" s="4" t="s">
        <v>33</v>
      </c>
      <c r="AB33" s="4" t="s">
        <v>33</v>
      </c>
      <c r="AC33" s="4" t="s">
        <v>33</v>
      </c>
    </row>
    <row r="34" spans="1:29" ht="12.75" x14ac:dyDescent="0.2">
      <c r="A34" s="3" t="s">
        <v>11</v>
      </c>
      <c r="B34" s="3" t="s">
        <v>4</v>
      </c>
      <c r="C34" s="3" t="s">
        <v>30</v>
      </c>
      <c r="D34" s="8">
        <v>1</v>
      </c>
      <c r="E34" s="3">
        <v>12</v>
      </c>
      <c r="F34" s="3">
        <v>20</v>
      </c>
      <c r="G34" s="6">
        <v>2</v>
      </c>
      <c r="H34" s="10">
        <v>0</v>
      </c>
      <c r="I34" s="4" t="s">
        <v>33</v>
      </c>
      <c r="J34" s="4" t="s">
        <v>33</v>
      </c>
      <c r="K34" s="4" t="s">
        <v>33</v>
      </c>
      <c r="L34" s="4" t="s">
        <v>33</v>
      </c>
      <c r="M34" s="4" t="s">
        <v>33</v>
      </c>
      <c r="N34" s="4" t="s">
        <v>33</v>
      </c>
      <c r="O34" s="4" t="s">
        <v>33</v>
      </c>
      <c r="P34" s="4" t="s">
        <v>33</v>
      </c>
      <c r="Q34" s="4" t="s">
        <v>33</v>
      </c>
      <c r="R34" s="4" t="s">
        <v>33</v>
      </c>
      <c r="S34" s="4" t="s">
        <v>33</v>
      </c>
      <c r="T34" s="4" t="s">
        <v>33</v>
      </c>
      <c r="U34" s="4" t="s">
        <v>33</v>
      </c>
      <c r="V34" s="4" t="s">
        <v>33</v>
      </c>
      <c r="W34" s="4" t="s">
        <v>33</v>
      </c>
      <c r="X34" s="4" t="s">
        <v>33</v>
      </c>
      <c r="Y34" s="4" t="s">
        <v>33</v>
      </c>
      <c r="Z34" s="4" t="s">
        <v>33</v>
      </c>
      <c r="AA34" s="4" t="s">
        <v>33</v>
      </c>
      <c r="AB34" s="4" t="s">
        <v>33</v>
      </c>
      <c r="AC34" s="4" t="s">
        <v>33</v>
      </c>
    </row>
    <row r="35" spans="1:29" ht="12.75" x14ac:dyDescent="0.2">
      <c r="A35" s="3" t="s">
        <v>11</v>
      </c>
      <c r="B35" s="3" t="s">
        <v>5</v>
      </c>
      <c r="C35" s="3" t="s">
        <v>29</v>
      </c>
      <c r="D35" s="8">
        <v>0</v>
      </c>
      <c r="E35" s="3">
        <v>1</v>
      </c>
      <c r="F35" s="3">
        <v>5</v>
      </c>
      <c r="G35" s="6">
        <v>17</v>
      </c>
      <c r="H35" s="10">
        <v>30</v>
      </c>
      <c r="I35" s="6">
        <v>25</v>
      </c>
      <c r="J35" s="6">
        <v>8</v>
      </c>
      <c r="K35" s="6">
        <v>1</v>
      </c>
      <c r="L35" s="4" t="s">
        <v>33</v>
      </c>
      <c r="M35" s="4" t="s">
        <v>33</v>
      </c>
      <c r="N35" s="4" t="s">
        <v>33</v>
      </c>
      <c r="O35" s="6">
        <v>1</v>
      </c>
      <c r="P35" s="4" t="s">
        <v>33</v>
      </c>
      <c r="Q35" s="4" t="s">
        <v>33</v>
      </c>
      <c r="R35" s="4" t="s">
        <v>33</v>
      </c>
      <c r="S35" s="4" t="s">
        <v>33</v>
      </c>
      <c r="T35" s="4" t="s">
        <v>33</v>
      </c>
      <c r="U35" s="4" t="s">
        <v>33</v>
      </c>
      <c r="V35" s="4" t="s">
        <v>33</v>
      </c>
      <c r="W35" s="4" t="s">
        <v>33</v>
      </c>
      <c r="X35" s="4" t="s">
        <v>33</v>
      </c>
      <c r="Y35" s="4" t="s">
        <v>33</v>
      </c>
      <c r="Z35" s="4" t="s">
        <v>33</v>
      </c>
      <c r="AA35" s="4" t="s">
        <v>33</v>
      </c>
      <c r="AB35" s="4" t="s">
        <v>33</v>
      </c>
      <c r="AC35" s="4" t="s">
        <v>33</v>
      </c>
    </row>
    <row r="36" spans="1:29" ht="12.75" x14ac:dyDescent="0.2">
      <c r="A36" s="3" t="s">
        <v>11</v>
      </c>
      <c r="B36" s="3" t="s">
        <v>5</v>
      </c>
      <c r="C36" s="3" t="s">
        <v>30</v>
      </c>
      <c r="D36" s="8">
        <v>1</v>
      </c>
      <c r="E36" s="3">
        <v>7</v>
      </c>
      <c r="F36" s="3">
        <v>11</v>
      </c>
      <c r="G36" s="6">
        <v>21</v>
      </c>
      <c r="H36" s="10">
        <v>18</v>
      </c>
      <c r="I36" s="6">
        <v>10</v>
      </c>
      <c r="J36" s="6">
        <v>5</v>
      </c>
      <c r="K36" s="6">
        <v>0</v>
      </c>
      <c r="L36" s="4" t="s">
        <v>33</v>
      </c>
      <c r="M36" s="4" t="s">
        <v>33</v>
      </c>
      <c r="N36" s="4" t="s">
        <v>33</v>
      </c>
      <c r="O36" s="6">
        <v>0</v>
      </c>
      <c r="P36" s="4" t="s">
        <v>33</v>
      </c>
      <c r="Q36" s="4" t="s">
        <v>33</v>
      </c>
      <c r="R36" s="4" t="s">
        <v>33</v>
      </c>
      <c r="S36" s="4" t="s">
        <v>33</v>
      </c>
      <c r="T36" s="4" t="s">
        <v>33</v>
      </c>
      <c r="U36" s="4" t="s">
        <v>33</v>
      </c>
      <c r="V36" s="4" t="s">
        <v>33</v>
      </c>
      <c r="W36" s="4" t="s">
        <v>33</v>
      </c>
      <c r="X36" s="4" t="s">
        <v>33</v>
      </c>
      <c r="Y36" s="4" t="s">
        <v>33</v>
      </c>
      <c r="Z36" s="4" t="s">
        <v>33</v>
      </c>
      <c r="AA36" s="4" t="s">
        <v>33</v>
      </c>
      <c r="AB36" s="4" t="s">
        <v>33</v>
      </c>
      <c r="AC36" s="4" t="s">
        <v>33</v>
      </c>
    </row>
    <row r="37" spans="1:29" ht="12.75" x14ac:dyDescent="0.2">
      <c r="A37" s="3" t="s">
        <v>11</v>
      </c>
      <c r="B37" s="3" t="s">
        <v>6</v>
      </c>
      <c r="C37" s="3" t="s">
        <v>29</v>
      </c>
      <c r="D37" s="8">
        <v>0</v>
      </c>
      <c r="E37" s="3">
        <v>3</v>
      </c>
      <c r="F37" s="3">
        <v>3</v>
      </c>
      <c r="G37" s="6">
        <v>25</v>
      </c>
      <c r="H37" s="10">
        <v>21</v>
      </c>
      <c r="I37" s="6">
        <v>6</v>
      </c>
      <c r="J37" s="4" t="s">
        <v>33</v>
      </c>
      <c r="K37" s="6">
        <v>2</v>
      </c>
      <c r="L37" s="4" t="s">
        <v>33</v>
      </c>
      <c r="M37" s="4" t="s">
        <v>33</v>
      </c>
      <c r="N37" s="4" t="s">
        <v>33</v>
      </c>
      <c r="O37" s="4" t="s">
        <v>33</v>
      </c>
      <c r="P37" s="4" t="s">
        <v>33</v>
      </c>
      <c r="Q37" s="3">
        <v>1</v>
      </c>
      <c r="R37" s="4" t="s">
        <v>33</v>
      </c>
      <c r="S37" s="4" t="s">
        <v>33</v>
      </c>
      <c r="T37" s="4" t="s">
        <v>33</v>
      </c>
      <c r="U37" s="4" t="s">
        <v>33</v>
      </c>
      <c r="V37" s="4" t="s">
        <v>33</v>
      </c>
      <c r="W37" s="4" t="s">
        <v>33</v>
      </c>
      <c r="X37" s="4" t="s">
        <v>33</v>
      </c>
      <c r="Y37" s="4" t="s">
        <v>33</v>
      </c>
      <c r="Z37" s="4" t="s">
        <v>33</v>
      </c>
      <c r="AA37" s="4" t="s">
        <v>33</v>
      </c>
      <c r="AB37" s="4" t="s">
        <v>33</v>
      </c>
      <c r="AC37" s="4" t="s">
        <v>33</v>
      </c>
    </row>
    <row r="38" spans="1:29" ht="12.75" x14ac:dyDescent="0.2">
      <c r="A38" s="3" t="s">
        <v>11</v>
      </c>
      <c r="B38" s="3" t="s">
        <v>6</v>
      </c>
      <c r="C38" s="3" t="s">
        <v>30</v>
      </c>
      <c r="D38" s="8">
        <v>1</v>
      </c>
      <c r="E38" s="3">
        <v>3</v>
      </c>
      <c r="F38" s="3">
        <v>13</v>
      </c>
      <c r="G38" s="6">
        <v>26</v>
      </c>
      <c r="H38" s="10">
        <v>8</v>
      </c>
      <c r="I38" s="6">
        <v>0</v>
      </c>
      <c r="J38" s="4" t="s">
        <v>33</v>
      </c>
      <c r="K38" s="6">
        <v>0</v>
      </c>
      <c r="L38" s="4" t="s">
        <v>33</v>
      </c>
      <c r="M38" s="4" t="s">
        <v>33</v>
      </c>
      <c r="N38" s="4" t="s">
        <v>33</v>
      </c>
      <c r="O38" s="4" t="s">
        <v>33</v>
      </c>
      <c r="P38" s="4" t="s">
        <v>33</v>
      </c>
      <c r="Q38" s="3">
        <v>0</v>
      </c>
      <c r="R38" s="4" t="s">
        <v>33</v>
      </c>
      <c r="S38" s="4" t="s">
        <v>33</v>
      </c>
      <c r="T38" s="4" t="s">
        <v>33</v>
      </c>
      <c r="U38" s="4" t="s">
        <v>33</v>
      </c>
      <c r="V38" s="4" t="s">
        <v>33</v>
      </c>
      <c r="W38" s="4" t="s">
        <v>33</v>
      </c>
      <c r="X38" s="4" t="s">
        <v>33</v>
      </c>
      <c r="Y38" s="4" t="s">
        <v>33</v>
      </c>
      <c r="Z38" s="4" t="s">
        <v>33</v>
      </c>
      <c r="AA38" s="4" t="s">
        <v>33</v>
      </c>
      <c r="AB38" s="4" t="s">
        <v>33</v>
      </c>
      <c r="AC38" s="4" t="s">
        <v>33</v>
      </c>
    </row>
    <row r="39" spans="1:29" ht="12.75" x14ac:dyDescent="0.2">
      <c r="A39" s="3" t="s">
        <v>11</v>
      </c>
      <c r="B39" s="3" t="s">
        <v>7</v>
      </c>
      <c r="C39" s="3" t="s">
        <v>29</v>
      </c>
      <c r="D39" s="8">
        <v>0</v>
      </c>
      <c r="E39" s="3">
        <v>1</v>
      </c>
      <c r="F39" s="3">
        <v>6</v>
      </c>
      <c r="G39" s="6">
        <v>25</v>
      </c>
      <c r="H39" s="10">
        <v>21</v>
      </c>
      <c r="I39" s="6">
        <v>4</v>
      </c>
      <c r="J39" s="6">
        <v>1</v>
      </c>
      <c r="K39" s="4" t="s">
        <v>33</v>
      </c>
      <c r="L39" s="4" t="s">
        <v>33</v>
      </c>
      <c r="M39" s="4" t="s">
        <v>33</v>
      </c>
      <c r="N39" s="4" t="s">
        <v>33</v>
      </c>
      <c r="O39" s="4" t="s">
        <v>33</v>
      </c>
      <c r="P39" s="4" t="s">
        <v>33</v>
      </c>
      <c r="Q39" s="4" t="s">
        <v>33</v>
      </c>
      <c r="R39" s="4" t="s">
        <v>33</v>
      </c>
      <c r="S39" s="4" t="s">
        <v>33</v>
      </c>
      <c r="T39" s="4" t="s">
        <v>33</v>
      </c>
      <c r="U39" s="4" t="s">
        <v>33</v>
      </c>
      <c r="V39" s="4" t="s">
        <v>33</v>
      </c>
      <c r="W39" s="4" t="s">
        <v>33</v>
      </c>
      <c r="X39" s="4" t="s">
        <v>33</v>
      </c>
      <c r="Y39" s="4" t="s">
        <v>33</v>
      </c>
      <c r="Z39" s="4" t="s">
        <v>33</v>
      </c>
      <c r="AA39" s="4" t="s">
        <v>33</v>
      </c>
      <c r="AB39" s="4" t="s">
        <v>33</v>
      </c>
      <c r="AC39" s="4" t="s">
        <v>33</v>
      </c>
    </row>
    <row r="40" spans="1:29" ht="12.75" x14ac:dyDescent="0.2">
      <c r="A40" s="3" t="s">
        <v>11</v>
      </c>
      <c r="B40" s="3" t="s">
        <v>7</v>
      </c>
      <c r="C40" s="3" t="s">
        <v>30</v>
      </c>
      <c r="D40" s="8">
        <v>1</v>
      </c>
      <c r="E40" s="3">
        <v>6</v>
      </c>
      <c r="F40" s="3">
        <v>14</v>
      </c>
      <c r="G40" s="6">
        <v>28</v>
      </c>
      <c r="H40" s="10">
        <v>20</v>
      </c>
      <c r="I40" s="6">
        <v>2</v>
      </c>
      <c r="J40" s="6">
        <v>0</v>
      </c>
      <c r="K40" s="4" t="s">
        <v>33</v>
      </c>
      <c r="L40" s="4" t="s">
        <v>33</v>
      </c>
      <c r="M40" s="4" t="s">
        <v>33</v>
      </c>
      <c r="N40" s="4" t="s">
        <v>33</v>
      </c>
      <c r="O40" s="4" t="s">
        <v>33</v>
      </c>
      <c r="P40" s="4" t="s">
        <v>33</v>
      </c>
      <c r="Q40" s="4" t="s">
        <v>33</v>
      </c>
      <c r="R40" s="4" t="s">
        <v>33</v>
      </c>
      <c r="S40" s="4" t="s">
        <v>33</v>
      </c>
      <c r="T40" s="4" t="s">
        <v>33</v>
      </c>
      <c r="U40" s="4" t="s">
        <v>33</v>
      </c>
      <c r="V40" s="4" t="s">
        <v>33</v>
      </c>
      <c r="W40" s="4" t="s">
        <v>33</v>
      </c>
      <c r="X40" s="4" t="s">
        <v>33</v>
      </c>
      <c r="Y40" s="4" t="s">
        <v>33</v>
      </c>
      <c r="Z40" s="4" t="s">
        <v>33</v>
      </c>
      <c r="AA40" s="4" t="s">
        <v>33</v>
      </c>
      <c r="AB40" s="4" t="s">
        <v>33</v>
      </c>
      <c r="AC40" s="4" t="s">
        <v>33</v>
      </c>
    </row>
    <row r="41" spans="1:29" ht="12.75" x14ac:dyDescent="0.2">
      <c r="A41" s="3" t="s">
        <v>11</v>
      </c>
      <c r="B41" s="3" t="s">
        <v>8</v>
      </c>
      <c r="C41" s="3" t="s">
        <v>29</v>
      </c>
      <c r="D41" s="8">
        <v>0</v>
      </c>
      <c r="E41" s="3">
        <v>2</v>
      </c>
      <c r="F41" s="3">
        <v>5</v>
      </c>
      <c r="G41" s="6">
        <v>20</v>
      </c>
      <c r="H41" s="10">
        <v>4</v>
      </c>
      <c r="I41" s="4" t="s">
        <v>33</v>
      </c>
      <c r="J41" s="4" t="s">
        <v>33</v>
      </c>
      <c r="K41" s="4" t="s">
        <v>33</v>
      </c>
      <c r="L41" s="4" t="s">
        <v>33</v>
      </c>
      <c r="M41" s="4" t="s">
        <v>33</v>
      </c>
      <c r="N41" s="4" t="s">
        <v>33</v>
      </c>
      <c r="O41" s="4" t="s">
        <v>33</v>
      </c>
      <c r="P41" s="4" t="s">
        <v>33</v>
      </c>
      <c r="Q41" s="4" t="s">
        <v>33</v>
      </c>
      <c r="R41" s="4" t="s">
        <v>33</v>
      </c>
      <c r="S41" s="4" t="s">
        <v>33</v>
      </c>
      <c r="T41" s="4" t="s">
        <v>33</v>
      </c>
      <c r="U41" s="4" t="s">
        <v>33</v>
      </c>
      <c r="V41" s="4" t="s">
        <v>33</v>
      </c>
      <c r="W41" s="4" t="s">
        <v>33</v>
      </c>
      <c r="X41" s="4" t="s">
        <v>33</v>
      </c>
      <c r="Y41" s="4" t="s">
        <v>33</v>
      </c>
      <c r="Z41" s="4" t="s">
        <v>33</v>
      </c>
      <c r="AA41" s="4" t="s">
        <v>33</v>
      </c>
      <c r="AB41" s="4" t="s">
        <v>33</v>
      </c>
      <c r="AC41" s="4" t="s">
        <v>33</v>
      </c>
    </row>
    <row r="42" spans="1:29" ht="12.75" x14ac:dyDescent="0.2">
      <c r="A42" s="3" t="s">
        <v>11</v>
      </c>
      <c r="B42" s="3" t="s">
        <v>8</v>
      </c>
      <c r="C42" s="3" t="s">
        <v>30</v>
      </c>
      <c r="D42" s="8">
        <v>1</v>
      </c>
      <c r="E42" s="3">
        <v>8</v>
      </c>
      <c r="F42" s="3">
        <v>23</v>
      </c>
      <c r="G42" s="6">
        <v>7</v>
      </c>
      <c r="H42" s="10">
        <v>0</v>
      </c>
      <c r="I42" s="4" t="s">
        <v>33</v>
      </c>
      <c r="J42" s="4" t="s">
        <v>33</v>
      </c>
      <c r="K42" s="4" t="s">
        <v>33</v>
      </c>
      <c r="L42" s="4" t="s">
        <v>33</v>
      </c>
      <c r="M42" s="4" t="s">
        <v>33</v>
      </c>
      <c r="N42" s="4" t="s">
        <v>33</v>
      </c>
      <c r="O42" s="4" t="s">
        <v>33</v>
      </c>
      <c r="P42" s="4" t="s">
        <v>33</v>
      </c>
      <c r="Q42" s="4" t="s">
        <v>33</v>
      </c>
      <c r="R42" s="4" t="s">
        <v>33</v>
      </c>
      <c r="S42" s="4" t="s">
        <v>33</v>
      </c>
      <c r="T42" s="4" t="s">
        <v>33</v>
      </c>
      <c r="U42" s="4" t="s">
        <v>33</v>
      </c>
      <c r="V42" s="4" t="s">
        <v>33</v>
      </c>
      <c r="W42" s="4" t="s">
        <v>33</v>
      </c>
      <c r="X42" s="4" t="s">
        <v>33</v>
      </c>
      <c r="Y42" s="4" t="s">
        <v>33</v>
      </c>
      <c r="Z42" s="4" t="s">
        <v>33</v>
      </c>
      <c r="AA42" s="4" t="s">
        <v>33</v>
      </c>
      <c r="AB42" s="4" t="s">
        <v>33</v>
      </c>
      <c r="AC42" s="4" t="s">
        <v>33</v>
      </c>
    </row>
    <row r="43" spans="1:29" ht="12.75" x14ac:dyDescent="0.2">
      <c r="A43" s="3" t="s">
        <v>12</v>
      </c>
      <c r="B43" s="3" t="s">
        <v>4</v>
      </c>
      <c r="C43" s="3" t="s">
        <v>29</v>
      </c>
      <c r="D43" s="4" t="s">
        <v>33</v>
      </c>
      <c r="E43" s="3">
        <v>0</v>
      </c>
      <c r="F43" s="3">
        <v>12</v>
      </c>
      <c r="G43" s="6">
        <v>19</v>
      </c>
      <c r="H43" s="10">
        <v>2</v>
      </c>
      <c r="I43" s="4" t="s">
        <v>33</v>
      </c>
      <c r="J43" s="4" t="s">
        <v>33</v>
      </c>
      <c r="K43" s="4" t="s">
        <v>33</v>
      </c>
      <c r="L43" s="4" t="s">
        <v>33</v>
      </c>
      <c r="M43" s="4" t="s">
        <v>33</v>
      </c>
      <c r="N43" s="4" t="s">
        <v>33</v>
      </c>
      <c r="O43" s="4" t="s">
        <v>33</v>
      </c>
      <c r="P43" s="4" t="s">
        <v>33</v>
      </c>
      <c r="Q43" s="4" t="s">
        <v>33</v>
      </c>
      <c r="R43" s="4" t="s">
        <v>33</v>
      </c>
      <c r="S43" s="4" t="s">
        <v>33</v>
      </c>
      <c r="T43" s="4" t="s">
        <v>33</v>
      </c>
      <c r="U43" s="4" t="s">
        <v>33</v>
      </c>
      <c r="V43" s="4" t="s">
        <v>33</v>
      </c>
      <c r="W43" s="4" t="s">
        <v>33</v>
      </c>
      <c r="X43" s="4" t="s">
        <v>33</v>
      </c>
      <c r="Y43" s="4" t="s">
        <v>33</v>
      </c>
      <c r="Z43" s="4" t="s">
        <v>33</v>
      </c>
      <c r="AA43" s="4" t="s">
        <v>33</v>
      </c>
      <c r="AB43" s="4" t="s">
        <v>33</v>
      </c>
      <c r="AC43" s="4" t="s">
        <v>33</v>
      </c>
    </row>
    <row r="44" spans="1:29" ht="12.75" x14ac:dyDescent="0.2">
      <c r="A44" s="3" t="s">
        <v>12</v>
      </c>
      <c r="B44" s="3" t="s">
        <v>4</v>
      </c>
      <c r="C44" s="3" t="s">
        <v>30</v>
      </c>
      <c r="D44" s="4" t="s">
        <v>33</v>
      </c>
      <c r="E44" s="3">
        <v>8</v>
      </c>
      <c r="F44" s="3">
        <v>13</v>
      </c>
      <c r="G44" s="6">
        <v>2</v>
      </c>
      <c r="H44" s="10">
        <v>0</v>
      </c>
      <c r="I44" s="4" t="s">
        <v>33</v>
      </c>
      <c r="J44" s="4" t="s">
        <v>33</v>
      </c>
      <c r="K44" s="4" t="s">
        <v>33</v>
      </c>
      <c r="L44" s="4" t="s">
        <v>33</v>
      </c>
      <c r="M44" s="4" t="s">
        <v>33</v>
      </c>
      <c r="N44" s="4" t="s">
        <v>33</v>
      </c>
      <c r="O44" s="4" t="s">
        <v>33</v>
      </c>
      <c r="P44" s="4" t="s">
        <v>33</v>
      </c>
      <c r="Q44" s="4" t="s">
        <v>33</v>
      </c>
      <c r="R44" s="4" t="s">
        <v>33</v>
      </c>
      <c r="S44" s="4" t="s">
        <v>33</v>
      </c>
      <c r="T44" s="4" t="s">
        <v>33</v>
      </c>
      <c r="U44" s="4" t="s">
        <v>33</v>
      </c>
      <c r="V44" s="4" t="s">
        <v>33</v>
      </c>
      <c r="W44" s="4" t="s">
        <v>33</v>
      </c>
      <c r="X44" s="4" t="s">
        <v>33</v>
      </c>
      <c r="Y44" s="4" t="s">
        <v>33</v>
      </c>
      <c r="Z44" s="4" t="s">
        <v>33</v>
      </c>
      <c r="AA44" s="4" t="s">
        <v>33</v>
      </c>
      <c r="AB44" s="4" t="s">
        <v>33</v>
      </c>
      <c r="AC44" s="4" t="s">
        <v>33</v>
      </c>
    </row>
    <row r="45" spans="1:29" ht="12.75" x14ac:dyDescent="0.2">
      <c r="A45" s="3" t="s">
        <v>12</v>
      </c>
      <c r="B45" s="3" t="s">
        <v>5</v>
      </c>
      <c r="C45" s="3" t="s">
        <v>29</v>
      </c>
      <c r="D45" s="4" t="s">
        <v>33</v>
      </c>
      <c r="E45" s="3">
        <v>1</v>
      </c>
      <c r="F45" s="3">
        <v>14</v>
      </c>
      <c r="G45" s="6">
        <v>24</v>
      </c>
      <c r="H45" s="10">
        <v>4</v>
      </c>
      <c r="I45" s="4" t="s">
        <v>33</v>
      </c>
      <c r="J45" s="4" t="s">
        <v>33</v>
      </c>
      <c r="K45" s="4" t="s">
        <v>33</v>
      </c>
      <c r="L45" s="4" t="s">
        <v>33</v>
      </c>
      <c r="M45" s="4" t="s">
        <v>33</v>
      </c>
      <c r="N45" s="4" t="s">
        <v>33</v>
      </c>
      <c r="O45" s="4" t="s">
        <v>33</v>
      </c>
      <c r="P45" s="4" t="s">
        <v>33</v>
      </c>
      <c r="Q45" s="4" t="s">
        <v>33</v>
      </c>
      <c r="R45" s="4" t="s">
        <v>33</v>
      </c>
      <c r="S45" s="4" t="s">
        <v>33</v>
      </c>
      <c r="T45" s="4" t="s">
        <v>33</v>
      </c>
      <c r="U45" s="4" t="s">
        <v>33</v>
      </c>
      <c r="V45" s="4" t="s">
        <v>33</v>
      </c>
      <c r="W45" s="4" t="s">
        <v>33</v>
      </c>
      <c r="X45" s="4" t="s">
        <v>33</v>
      </c>
      <c r="Y45" s="4" t="s">
        <v>33</v>
      </c>
      <c r="Z45" s="4" t="s">
        <v>33</v>
      </c>
      <c r="AA45" s="4" t="s">
        <v>33</v>
      </c>
      <c r="AB45" s="4" t="s">
        <v>33</v>
      </c>
      <c r="AC45" s="4" t="s">
        <v>33</v>
      </c>
    </row>
    <row r="46" spans="1:29" ht="12.75" x14ac:dyDescent="0.2">
      <c r="A46" s="3" t="s">
        <v>12</v>
      </c>
      <c r="B46" s="3" t="s">
        <v>5</v>
      </c>
      <c r="C46" s="3" t="s">
        <v>30</v>
      </c>
      <c r="D46" s="4" t="s">
        <v>33</v>
      </c>
      <c r="E46" s="3">
        <v>8</v>
      </c>
      <c r="F46" s="3">
        <v>15</v>
      </c>
      <c r="G46" s="6">
        <v>14</v>
      </c>
      <c r="H46" s="10">
        <v>0</v>
      </c>
      <c r="I46" s="4" t="s">
        <v>33</v>
      </c>
      <c r="J46" s="4" t="s">
        <v>33</v>
      </c>
      <c r="K46" s="4" t="s">
        <v>33</v>
      </c>
      <c r="L46" s="4" t="s">
        <v>33</v>
      </c>
      <c r="M46" s="4" t="s">
        <v>33</v>
      </c>
      <c r="N46" s="4" t="s">
        <v>33</v>
      </c>
      <c r="O46" s="4" t="s">
        <v>33</v>
      </c>
      <c r="P46" s="4" t="s">
        <v>33</v>
      </c>
      <c r="Q46" s="4" t="s">
        <v>33</v>
      </c>
      <c r="R46" s="4" t="s">
        <v>33</v>
      </c>
      <c r="S46" s="4" t="s">
        <v>33</v>
      </c>
      <c r="T46" s="4" t="s">
        <v>33</v>
      </c>
      <c r="U46" s="4" t="s">
        <v>33</v>
      </c>
      <c r="V46" s="4" t="s">
        <v>33</v>
      </c>
      <c r="W46" s="4" t="s">
        <v>33</v>
      </c>
      <c r="X46" s="4" t="s">
        <v>33</v>
      </c>
      <c r="Y46" s="4" t="s">
        <v>33</v>
      </c>
      <c r="Z46" s="4" t="s">
        <v>33</v>
      </c>
      <c r="AA46" s="4" t="s">
        <v>33</v>
      </c>
      <c r="AB46" s="4" t="s">
        <v>33</v>
      </c>
      <c r="AC46" s="4" t="s">
        <v>33</v>
      </c>
    </row>
    <row r="47" spans="1:29" ht="12.75" x14ac:dyDescent="0.2">
      <c r="A47" s="3" t="s">
        <v>12</v>
      </c>
      <c r="B47" s="3" t="s">
        <v>6</v>
      </c>
      <c r="C47" s="3" t="s">
        <v>29</v>
      </c>
      <c r="D47" s="4" t="s">
        <v>33</v>
      </c>
      <c r="E47" s="4" t="s">
        <v>33</v>
      </c>
      <c r="F47" s="3">
        <v>16</v>
      </c>
      <c r="G47" s="6">
        <v>26</v>
      </c>
      <c r="H47" s="10">
        <v>1</v>
      </c>
      <c r="I47" s="4" t="s">
        <v>33</v>
      </c>
      <c r="J47" s="4" t="s">
        <v>33</v>
      </c>
      <c r="K47" s="6">
        <v>0</v>
      </c>
      <c r="L47" s="4" t="s">
        <v>33</v>
      </c>
      <c r="M47" s="4" t="s">
        <v>33</v>
      </c>
      <c r="N47" s="4" t="s">
        <v>33</v>
      </c>
      <c r="O47" s="4" t="s">
        <v>33</v>
      </c>
      <c r="P47" s="4" t="s">
        <v>33</v>
      </c>
      <c r="Q47" s="4" t="s">
        <v>33</v>
      </c>
      <c r="R47" s="4" t="s">
        <v>33</v>
      </c>
      <c r="S47" s="4" t="s">
        <v>33</v>
      </c>
      <c r="T47" s="4" t="s">
        <v>33</v>
      </c>
      <c r="U47" s="4" t="s">
        <v>33</v>
      </c>
      <c r="V47" s="4" t="s">
        <v>33</v>
      </c>
      <c r="W47" s="4" t="s">
        <v>33</v>
      </c>
      <c r="X47" s="4" t="s">
        <v>33</v>
      </c>
      <c r="Y47" s="4" t="s">
        <v>33</v>
      </c>
      <c r="Z47" s="4" t="s">
        <v>33</v>
      </c>
      <c r="AA47" s="4" t="s">
        <v>33</v>
      </c>
      <c r="AB47" s="4" t="s">
        <v>33</v>
      </c>
      <c r="AC47" s="4" t="s">
        <v>33</v>
      </c>
    </row>
    <row r="48" spans="1:29" ht="12.75" x14ac:dyDescent="0.2">
      <c r="A48" s="3" t="s">
        <v>12</v>
      </c>
      <c r="B48" s="3" t="s">
        <v>6</v>
      </c>
      <c r="C48" s="3" t="s">
        <v>30</v>
      </c>
      <c r="D48" s="4" t="s">
        <v>33</v>
      </c>
      <c r="E48" s="4" t="s">
        <v>33</v>
      </c>
      <c r="F48" s="3">
        <v>17</v>
      </c>
      <c r="G48" s="6">
        <v>10</v>
      </c>
      <c r="H48" s="10">
        <v>0</v>
      </c>
      <c r="I48" s="4" t="s">
        <v>33</v>
      </c>
      <c r="J48" s="4" t="s">
        <v>33</v>
      </c>
      <c r="K48" s="6">
        <v>1</v>
      </c>
      <c r="L48" s="4" t="s">
        <v>33</v>
      </c>
      <c r="M48" s="4" t="s">
        <v>33</v>
      </c>
      <c r="N48" s="4" t="s">
        <v>33</v>
      </c>
      <c r="O48" s="4" t="s">
        <v>33</v>
      </c>
      <c r="P48" s="4" t="s">
        <v>33</v>
      </c>
      <c r="Q48" s="4" t="s">
        <v>33</v>
      </c>
      <c r="R48" s="4" t="s">
        <v>33</v>
      </c>
      <c r="S48" s="4" t="s">
        <v>33</v>
      </c>
      <c r="T48" s="4" t="s">
        <v>33</v>
      </c>
      <c r="U48" s="4" t="s">
        <v>33</v>
      </c>
      <c r="V48" s="4" t="s">
        <v>33</v>
      </c>
      <c r="W48" s="4" t="s">
        <v>33</v>
      </c>
      <c r="X48" s="4" t="s">
        <v>33</v>
      </c>
      <c r="Y48" s="4" t="s">
        <v>33</v>
      </c>
      <c r="Z48" s="4" t="s">
        <v>33</v>
      </c>
      <c r="AA48" s="4" t="s">
        <v>33</v>
      </c>
      <c r="AB48" s="4" t="s">
        <v>33</v>
      </c>
      <c r="AC48" s="4" t="s">
        <v>33</v>
      </c>
    </row>
    <row r="49" spans="1:29" ht="12.75" x14ac:dyDescent="0.2">
      <c r="A49" s="3" t="s">
        <v>12</v>
      </c>
      <c r="B49" s="3" t="s">
        <v>7</v>
      </c>
      <c r="C49" s="3" t="s">
        <v>29</v>
      </c>
      <c r="D49" s="4" t="s">
        <v>33</v>
      </c>
      <c r="E49" s="3">
        <v>1</v>
      </c>
      <c r="F49" s="3">
        <v>18</v>
      </c>
      <c r="G49" s="6">
        <v>23</v>
      </c>
      <c r="H49" s="10">
        <v>4</v>
      </c>
      <c r="I49" s="4" t="s">
        <v>33</v>
      </c>
      <c r="J49" s="4" t="s">
        <v>33</v>
      </c>
      <c r="K49" s="4" t="s">
        <v>33</v>
      </c>
      <c r="L49" s="4" t="s">
        <v>33</v>
      </c>
      <c r="M49" s="4" t="s">
        <v>33</v>
      </c>
      <c r="N49" s="3">
        <v>1</v>
      </c>
      <c r="O49" s="4" t="s">
        <v>33</v>
      </c>
      <c r="P49" s="4" t="s">
        <v>33</v>
      </c>
      <c r="Q49" s="4" t="s">
        <v>33</v>
      </c>
      <c r="R49" s="4" t="s">
        <v>33</v>
      </c>
      <c r="S49" s="4" t="s">
        <v>33</v>
      </c>
      <c r="T49" s="4" t="s">
        <v>33</v>
      </c>
      <c r="U49" s="4" t="s">
        <v>33</v>
      </c>
      <c r="V49" s="4" t="s">
        <v>33</v>
      </c>
      <c r="W49" s="4" t="s">
        <v>33</v>
      </c>
      <c r="X49" s="4" t="s">
        <v>33</v>
      </c>
      <c r="Y49" s="4" t="s">
        <v>33</v>
      </c>
      <c r="Z49" s="4" t="s">
        <v>33</v>
      </c>
      <c r="AA49" s="4" t="s">
        <v>33</v>
      </c>
      <c r="AB49" s="4" t="s">
        <v>33</v>
      </c>
      <c r="AC49" s="4" t="s">
        <v>33</v>
      </c>
    </row>
    <row r="50" spans="1:29" ht="12.75" x14ac:dyDescent="0.2">
      <c r="A50" s="3" t="s">
        <v>12</v>
      </c>
      <c r="B50" s="3" t="s">
        <v>7</v>
      </c>
      <c r="C50" s="3" t="s">
        <v>30</v>
      </c>
      <c r="D50" s="4" t="s">
        <v>33</v>
      </c>
      <c r="E50" s="3">
        <v>10</v>
      </c>
      <c r="F50" s="3">
        <v>19</v>
      </c>
      <c r="G50" s="6">
        <v>6</v>
      </c>
      <c r="H50" s="10">
        <v>0</v>
      </c>
      <c r="I50" s="4" t="s">
        <v>33</v>
      </c>
      <c r="J50" s="4" t="s">
        <v>33</v>
      </c>
      <c r="K50" s="4" t="s">
        <v>33</v>
      </c>
      <c r="L50" s="4" t="s">
        <v>33</v>
      </c>
      <c r="M50" s="4" t="s">
        <v>33</v>
      </c>
      <c r="N50" s="3">
        <v>0</v>
      </c>
      <c r="O50" s="4" t="s">
        <v>33</v>
      </c>
      <c r="P50" s="4" t="s">
        <v>33</v>
      </c>
      <c r="Q50" s="4" t="s">
        <v>33</v>
      </c>
      <c r="R50" s="4" t="s">
        <v>33</v>
      </c>
      <c r="S50" s="4" t="s">
        <v>33</v>
      </c>
      <c r="T50" s="4" t="s">
        <v>33</v>
      </c>
      <c r="U50" s="4" t="s">
        <v>33</v>
      </c>
      <c r="V50" s="4" t="s">
        <v>33</v>
      </c>
      <c r="W50" s="4" t="s">
        <v>33</v>
      </c>
      <c r="X50" s="4" t="s">
        <v>33</v>
      </c>
      <c r="Y50" s="4" t="s">
        <v>33</v>
      </c>
      <c r="Z50" s="4" t="s">
        <v>33</v>
      </c>
      <c r="AA50" s="4" t="s">
        <v>33</v>
      </c>
      <c r="AB50" s="4" t="s">
        <v>33</v>
      </c>
      <c r="AC50" s="4" t="s">
        <v>33</v>
      </c>
    </row>
    <row r="51" spans="1:29" ht="12.75" x14ac:dyDescent="0.2">
      <c r="A51" s="3" t="s">
        <v>12</v>
      </c>
      <c r="B51" s="3" t="s">
        <v>8</v>
      </c>
      <c r="C51" s="3" t="s">
        <v>29</v>
      </c>
      <c r="D51" s="4" t="s">
        <v>33</v>
      </c>
      <c r="E51" s="3">
        <v>0</v>
      </c>
      <c r="F51" s="3">
        <v>20</v>
      </c>
      <c r="G51" s="6">
        <v>18</v>
      </c>
      <c r="H51" s="10">
        <v>9</v>
      </c>
      <c r="I51" s="4" t="s">
        <v>33</v>
      </c>
      <c r="J51" s="4" t="s">
        <v>33</v>
      </c>
      <c r="K51" s="4" t="s">
        <v>33</v>
      </c>
      <c r="L51" s="4" t="s">
        <v>33</v>
      </c>
      <c r="M51" s="4" t="s">
        <v>33</v>
      </c>
      <c r="N51" s="4" t="s">
        <v>33</v>
      </c>
      <c r="O51" s="4" t="s">
        <v>33</v>
      </c>
      <c r="P51" s="4" t="s">
        <v>33</v>
      </c>
      <c r="Q51" s="4" t="s">
        <v>33</v>
      </c>
      <c r="R51" s="4" t="s">
        <v>33</v>
      </c>
      <c r="S51" s="4" t="s">
        <v>33</v>
      </c>
      <c r="T51" s="4" t="s">
        <v>33</v>
      </c>
      <c r="U51" s="4" t="s">
        <v>33</v>
      </c>
      <c r="V51" s="4" t="s">
        <v>33</v>
      </c>
      <c r="W51" s="4" t="s">
        <v>33</v>
      </c>
      <c r="X51" s="4" t="s">
        <v>33</v>
      </c>
      <c r="Y51" s="4" t="s">
        <v>33</v>
      </c>
      <c r="Z51" s="4" t="s">
        <v>33</v>
      </c>
      <c r="AA51" s="4" t="s">
        <v>33</v>
      </c>
      <c r="AB51" s="4" t="s">
        <v>33</v>
      </c>
      <c r="AC51" s="4" t="s">
        <v>33</v>
      </c>
    </row>
    <row r="52" spans="1:29" ht="12.75" x14ac:dyDescent="0.2">
      <c r="A52" s="3" t="s">
        <v>12</v>
      </c>
      <c r="B52" s="3" t="s">
        <v>8</v>
      </c>
      <c r="C52" s="3" t="s">
        <v>30</v>
      </c>
      <c r="D52" s="4" t="s">
        <v>33</v>
      </c>
      <c r="E52" s="3">
        <v>4</v>
      </c>
      <c r="F52" s="3">
        <v>21</v>
      </c>
      <c r="G52" s="6">
        <v>8</v>
      </c>
      <c r="H52" s="10">
        <v>0</v>
      </c>
      <c r="I52" s="4" t="s">
        <v>33</v>
      </c>
      <c r="J52" s="4" t="s">
        <v>33</v>
      </c>
      <c r="K52" s="4" t="s">
        <v>33</v>
      </c>
      <c r="L52" s="4" t="s">
        <v>33</v>
      </c>
      <c r="M52" s="4" t="s">
        <v>33</v>
      </c>
      <c r="N52" s="4" t="s">
        <v>33</v>
      </c>
      <c r="O52" s="4" t="s">
        <v>33</v>
      </c>
      <c r="P52" s="4" t="s">
        <v>33</v>
      </c>
      <c r="Q52" s="4" t="s">
        <v>33</v>
      </c>
      <c r="R52" s="4" t="s">
        <v>33</v>
      </c>
      <c r="S52" s="4" t="s">
        <v>33</v>
      </c>
      <c r="T52" s="4" t="s">
        <v>33</v>
      </c>
      <c r="U52" s="4" t="s">
        <v>33</v>
      </c>
      <c r="V52" s="4" t="s">
        <v>33</v>
      </c>
      <c r="W52" s="4" t="s">
        <v>33</v>
      </c>
      <c r="X52" s="4" t="s">
        <v>33</v>
      </c>
      <c r="Y52" s="4" t="s">
        <v>33</v>
      </c>
      <c r="Z52" s="4" t="s">
        <v>33</v>
      </c>
      <c r="AA52" s="4" t="s">
        <v>33</v>
      </c>
      <c r="AB52" s="4" t="s">
        <v>33</v>
      </c>
      <c r="AC52" s="4" t="s">
        <v>33</v>
      </c>
    </row>
    <row r="53" spans="1:29" ht="15.75" customHeight="1" x14ac:dyDescent="0.2">
      <c r="A53" s="3" t="s">
        <v>13</v>
      </c>
      <c r="B53" s="3" t="s">
        <v>4</v>
      </c>
      <c r="C53" s="3" t="s">
        <v>29</v>
      </c>
      <c r="D53" s="8">
        <v>0</v>
      </c>
      <c r="E53" s="3">
        <v>1</v>
      </c>
      <c r="F53" s="3">
        <v>22</v>
      </c>
      <c r="G53" s="6">
        <v>27</v>
      </c>
      <c r="H53" s="10">
        <v>27</v>
      </c>
      <c r="I53" s="6">
        <v>7</v>
      </c>
      <c r="J53" s="6">
        <v>2</v>
      </c>
      <c r="K53" s="6">
        <v>0</v>
      </c>
      <c r="L53" s="6">
        <v>0</v>
      </c>
      <c r="M53" s="4" t="s">
        <v>33</v>
      </c>
      <c r="N53" s="3">
        <v>1</v>
      </c>
      <c r="O53" s="6">
        <v>1</v>
      </c>
      <c r="P53" s="4" t="s">
        <v>33</v>
      </c>
      <c r="Q53" s="4" t="s">
        <v>33</v>
      </c>
      <c r="R53" s="4" t="s">
        <v>33</v>
      </c>
      <c r="S53" s="6">
        <v>0</v>
      </c>
      <c r="T53" s="4" t="s">
        <v>33</v>
      </c>
      <c r="U53" s="4" t="s">
        <v>33</v>
      </c>
      <c r="V53" s="4" t="s">
        <v>33</v>
      </c>
      <c r="W53" s="4" t="s">
        <v>33</v>
      </c>
      <c r="X53" s="4" t="s">
        <v>33</v>
      </c>
      <c r="Y53" s="4" t="s">
        <v>33</v>
      </c>
      <c r="Z53" s="4" t="s">
        <v>33</v>
      </c>
      <c r="AA53" s="4" t="s">
        <v>33</v>
      </c>
      <c r="AB53" s="4" t="s">
        <v>33</v>
      </c>
      <c r="AC53" s="4" t="s">
        <v>33</v>
      </c>
    </row>
    <row r="54" spans="1:29" ht="15.75" customHeight="1" x14ac:dyDescent="0.2">
      <c r="A54" s="3" t="s">
        <v>13</v>
      </c>
      <c r="B54" s="3" t="s">
        <v>4</v>
      </c>
      <c r="C54" s="3" t="s">
        <v>30</v>
      </c>
      <c r="D54" s="8">
        <v>1</v>
      </c>
      <c r="E54" s="3">
        <v>3</v>
      </c>
      <c r="F54" s="3">
        <v>23</v>
      </c>
      <c r="G54" s="6">
        <v>32</v>
      </c>
      <c r="H54" s="10">
        <v>12</v>
      </c>
      <c r="I54" s="6">
        <v>2</v>
      </c>
      <c r="J54" s="6">
        <v>0</v>
      </c>
      <c r="K54" s="6">
        <v>1</v>
      </c>
      <c r="L54" s="6">
        <v>1</v>
      </c>
      <c r="M54" s="4" t="s">
        <v>33</v>
      </c>
      <c r="N54" s="3">
        <v>0</v>
      </c>
      <c r="O54" s="6">
        <v>0</v>
      </c>
      <c r="P54" s="4" t="s">
        <v>33</v>
      </c>
      <c r="Q54" s="4" t="s">
        <v>33</v>
      </c>
      <c r="R54" s="4" t="s">
        <v>33</v>
      </c>
      <c r="S54" s="6">
        <v>1</v>
      </c>
      <c r="T54" s="4" t="s">
        <v>33</v>
      </c>
      <c r="U54" s="4" t="s">
        <v>33</v>
      </c>
      <c r="V54" s="4" t="s">
        <v>33</v>
      </c>
      <c r="W54" s="4" t="s">
        <v>33</v>
      </c>
      <c r="X54" s="4" t="s">
        <v>33</v>
      </c>
      <c r="Y54" s="4" t="s">
        <v>33</v>
      </c>
      <c r="Z54" s="4" t="s">
        <v>33</v>
      </c>
      <c r="AA54" s="4" t="s">
        <v>33</v>
      </c>
      <c r="AB54" s="4" t="s">
        <v>33</v>
      </c>
      <c r="AC54" s="4" t="s">
        <v>33</v>
      </c>
    </row>
    <row r="55" spans="1:29" ht="15.75" customHeight="1" x14ac:dyDescent="0.2">
      <c r="A55" s="3" t="s">
        <v>13</v>
      </c>
      <c r="B55" s="3" t="s">
        <v>5</v>
      </c>
      <c r="C55" s="3" t="s">
        <v>29</v>
      </c>
      <c r="D55" s="4" t="s">
        <v>33</v>
      </c>
      <c r="E55" s="3">
        <v>1</v>
      </c>
      <c r="F55" s="3">
        <v>24</v>
      </c>
      <c r="G55" s="6">
        <v>21</v>
      </c>
      <c r="H55" s="10">
        <v>15</v>
      </c>
      <c r="I55" s="6">
        <v>4</v>
      </c>
      <c r="J55" s="4" t="s">
        <v>33</v>
      </c>
      <c r="K55" s="6">
        <v>0</v>
      </c>
      <c r="L55" s="6">
        <v>0</v>
      </c>
      <c r="M55" s="4" t="s">
        <v>33</v>
      </c>
      <c r="N55" s="4" t="s">
        <v>33</v>
      </c>
      <c r="O55" s="4" t="s">
        <v>33</v>
      </c>
      <c r="P55" s="4" t="s">
        <v>33</v>
      </c>
      <c r="Q55" s="4" t="s">
        <v>33</v>
      </c>
      <c r="R55" s="4" t="s">
        <v>33</v>
      </c>
      <c r="S55" s="6">
        <v>0</v>
      </c>
      <c r="T55" s="4" t="s">
        <v>33</v>
      </c>
      <c r="U55" s="4" t="s">
        <v>33</v>
      </c>
      <c r="V55" s="4" t="s">
        <v>33</v>
      </c>
      <c r="W55" s="4" t="s">
        <v>33</v>
      </c>
      <c r="X55" s="4" t="s">
        <v>33</v>
      </c>
      <c r="Y55" s="4" t="s">
        <v>33</v>
      </c>
      <c r="Z55" s="6">
        <v>0</v>
      </c>
      <c r="AA55" s="4" t="s">
        <v>33</v>
      </c>
      <c r="AB55" s="4" t="s">
        <v>33</v>
      </c>
      <c r="AC55" s="4" t="s">
        <v>33</v>
      </c>
    </row>
    <row r="56" spans="1:29" ht="15.75" customHeight="1" x14ac:dyDescent="0.2">
      <c r="A56" s="3" t="s">
        <v>13</v>
      </c>
      <c r="B56" s="3" t="s">
        <v>5</v>
      </c>
      <c r="C56" s="3" t="s">
        <v>30</v>
      </c>
      <c r="D56" s="4" t="s">
        <v>33</v>
      </c>
      <c r="E56" s="3">
        <v>3</v>
      </c>
      <c r="F56" s="3">
        <v>25</v>
      </c>
      <c r="G56" s="6">
        <v>38</v>
      </c>
      <c r="H56" s="10">
        <v>12</v>
      </c>
      <c r="I56" s="6">
        <v>2</v>
      </c>
      <c r="J56" s="4" t="s">
        <v>33</v>
      </c>
      <c r="K56" s="6">
        <v>1</v>
      </c>
      <c r="L56" s="6">
        <v>0</v>
      </c>
      <c r="M56" s="4" t="s">
        <v>33</v>
      </c>
      <c r="N56" s="4" t="s">
        <v>33</v>
      </c>
      <c r="O56" s="4" t="s">
        <v>33</v>
      </c>
      <c r="P56" s="4" t="s">
        <v>33</v>
      </c>
      <c r="Q56" s="4" t="s">
        <v>33</v>
      </c>
      <c r="R56" s="4" t="s">
        <v>33</v>
      </c>
      <c r="S56" s="6">
        <v>1</v>
      </c>
      <c r="T56" s="4" t="s">
        <v>33</v>
      </c>
      <c r="U56" s="4" t="s">
        <v>33</v>
      </c>
      <c r="V56" s="4" t="s">
        <v>33</v>
      </c>
      <c r="W56" s="4" t="s">
        <v>33</v>
      </c>
      <c r="X56" s="4" t="s">
        <v>33</v>
      </c>
      <c r="Y56" s="4" t="s">
        <v>33</v>
      </c>
      <c r="Z56" s="6">
        <v>1</v>
      </c>
      <c r="AA56" s="4" t="s">
        <v>33</v>
      </c>
      <c r="AB56" s="4" t="s">
        <v>33</v>
      </c>
      <c r="AC56" s="4" t="s">
        <v>33</v>
      </c>
    </row>
    <row r="57" spans="1:29" ht="15.75" customHeight="1" x14ac:dyDescent="0.2">
      <c r="A57" s="3" t="s">
        <v>13</v>
      </c>
      <c r="B57" s="3" t="s">
        <v>6</v>
      </c>
      <c r="C57" s="3" t="s">
        <v>29</v>
      </c>
      <c r="D57" s="4" t="s">
        <v>33</v>
      </c>
      <c r="E57" s="3">
        <v>0</v>
      </c>
      <c r="F57" s="3">
        <v>26</v>
      </c>
      <c r="G57" s="6">
        <v>28</v>
      </c>
      <c r="H57" s="10">
        <v>23</v>
      </c>
      <c r="I57" s="6">
        <v>1</v>
      </c>
      <c r="J57" s="6">
        <v>0</v>
      </c>
      <c r="K57" s="4" t="s">
        <v>33</v>
      </c>
      <c r="L57" s="4" t="s">
        <v>33</v>
      </c>
      <c r="M57" s="4" t="s">
        <v>33</v>
      </c>
      <c r="N57" s="3">
        <v>0</v>
      </c>
      <c r="O57" s="4" t="s">
        <v>33</v>
      </c>
      <c r="P57" s="4" t="s">
        <v>33</v>
      </c>
      <c r="Q57" s="4" t="s">
        <v>33</v>
      </c>
      <c r="R57" s="4" t="s">
        <v>33</v>
      </c>
      <c r="S57" s="4" t="s">
        <v>33</v>
      </c>
      <c r="T57" s="4" t="s">
        <v>33</v>
      </c>
      <c r="U57" s="4" t="s">
        <v>33</v>
      </c>
      <c r="V57" s="4" t="s">
        <v>33</v>
      </c>
      <c r="W57" s="4" t="s">
        <v>33</v>
      </c>
      <c r="X57" s="4" t="s">
        <v>33</v>
      </c>
      <c r="Y57" s="4" t="s">
        <v>33</v>
      </c>
      <c r="Z57" s="4" t="s">
        <v>33</v>
      </c>
      <c r="AA57" s="4" t="s">
        <v>33</v>
      </c>
      <c r="AB57" s="4" t="s">
        <v>33</v>
      </c>
      <c r="AC57" s="4" t="s">
        <v>33</v>
      </c>
    </row>
    <row r="58" spans="1:29" ht="15.75" customHeight="1" x14ac:dyDescent="0.2">
      <c r="A58" s="3" t="s">
        <v>13</v>
      </c>
      <c r="B58" s="3" t="s">
        <v>6</v>
      </c>
      <c r="C58" s="3" t="s">
        <v>30</v>
      </c>
      <c r="D58" s="4" t="s">
        <v>33</v>
      </c>
      <c r="E58" s="3">
        <v>2</v>
      </c>
      <c r="F58" s="3">
        <v>27</v>
      </c>
      <c r="G58" s="6">
        <v>30</v>
      </c>
      <c r="H58" s="10">
        <v>6</v>
      </c>
      <c r="I58" s="6">
        <v>0</v>
      </c>
      <c r="J58" s="6">
        <v>2</v>
      </c>
      <c r="K58" s="4" t="s">
        <v>33</v>
      </c>
      <c r="L58" s="4" t="s">
        <v>33</v>
      </c>
      <c r="M58" s="4" t="s">
        <v>33</v>
      </c>
      <c r="N58" s="3">
        <v>1</v>
      </c>
      <c r="O58" s="4" t="s">
        <v>33</v>
      </c>
      <c r="P58" s="4" t="s">
        <v>33</v>
      </c>
      <c r="Q58" s="4" t="s">
        <v>33</v>
      </c>
      <c r="R58" s="4" t="s">
        <v>33</v>
      </c>
      <c r="S58" s="4" t="s">
        <v>33</v>
      </c>
      <c r="T58" s="4" t="s">
        <v>33</v>
      </c>
      <c r="U58" s="4" t="s">
        <v>33</v>
      </c>
      <c r="V58" s="4" t="s">
        <v>33</v>
      </c>
      <c r="W58" s="4" t="s">
        <v>33</v>
      </c>
      <c r="X58" s="4" t="s">
        <v>33</v>
      </c>
      <c r="Y58" s="4" t="s">
        <v>33</v>
      </c>
      <c r="Z58" s="4" t="s">
        <v>33</v>
      </c>
      <c r="AA58" s="4" t="s">
        <v>33</v>
      </c>
      <c r="AB58" s="4" t="s">
        <v>33</v>
      </c>
      <c r="AC58" s="4" t="s">
        <v>33</v>
      </c>
    </row>
    <row r="59" spans="1:29" ht="15.75" customHeight="1" x14ac:dyDescent="0.2">
      <c r="A59" s="3" t="s">
        <v>13</v>
      </c>
      <c r="B59" s="3" t="s">
        <v>7</v>
      </c>
      <c r="C59" s="3" t="s">
        <v>29</v>
      </c>
      <c r="D59" s="4" t="s">
        <v>33</v>
      </c>
      <c r="E59" s="3">
        <v>1</v>
      </c>
      <c r="F59" s="3">
        <v>28</v>
      </c>
      <c r="G59" s="6">
        <v>11</v>
      </c>
      <c r="H59" s="10">
        <v>20</v>
      </c>
      <c r="I59" s="6">
        <v>15</v>
      </c>
      <c r="J59" s="6">
        <v>12</v>
      </c>
      <c r="K59" s="6">
        <v>8</v>
      </c>
      <c r="L59" s="4" t="s">
        <v>33</v>
      </c>
      <c r="M59" s="3">
        <v>1</v>
      </c>
      <c r="N59" s="3">
        <v>1</v>
      </c>
      <c r="O59" s="4" t="s">
        <v>33</v>
      </c>
      <c r="P59" s="4" t="s">
        <v>33</v>
      </c>
      <c r="Q59" s="4" t="s">
        <v>33</v>
      </c>
      <c r="R59" s="4" t="s">
        <v>33</v>
      </c>
      <c r="S59" s="6">
        <v>1</v>
      </c>
      <c r="T59" s="4" t="s">
        <v>33</v>
      </c>
      <c r="U59" s="4" t="s">
        <v>33</v>
      </c>
      <c r="V59" s="4" t="s">
        <v>33</v>
      </c>
      <c r="W59" s="4" t="s">
        <v>33</v>
      </c>
      <c r="X59" s="4" t="s">
        <v>33</v>
      </c>
      <c r="Y59" s="4" t="s">
        <v>33</v>
      </c>
      <c r="Z59" s="4" t="s">
        <v>33</v>
      </c>
      <c r="AA59" s="4" t="s">
        <v>33</v>
      </c>
      <c r="AB59" s="4" t="s">
        <v>33</v>
      </c>
      <c r="AC59" s="4" t="s">
        <v>33</v>
      </c>
    </row>
    <row r="60" spans="1:29" ht="15.75" customHeight="1" x14ac:dyDescent="0.2">
      <c r="A60" s="3" t="s">
        <v>13</v>
      </c>
      <c r="B60" s="3" t="s">
        <v>7</v>
      </c>
      <c r="C60" s="3" t="s">
        <v>30</v>
      </c>
      <c r="D60" s="4" t="s">
        <v>33</v>
      </c>
      <c r="E60" s="3">
        <v>0</v>
      </c>
      <c r="F60" s="3">
        <v>29</v>
      </c>
      <c r="G60" s="6">
        <v>33</v>
      </c>
      <c r="H60" s="10">
        <v>38</v>
      </c>
      <c r="I60" s="6">
        <v>11</v>
      </c>
      <c r="J60" s="6">
        <v>6</v>
      </c>
      <c r="K60" s="6">
        <v>6</v>
      </c>
      <c r="L60" s="4" t="s">
        <v>33</v>
      </c>
      <c r="M60" s="3">
        <v>0</v>
      </c>
      <c r="N60" s="3">
        <v>0</v>
      </c>
      <c r="O60" s="4" t="s">
        <v>33</v>
      </c>
      <c r="P60" s="4" t="s">
        <v>33</v>
      </c>
      <c r="Q60" s="4" t="s">
        <v>33</v>
      </c>
      <c r="R60" s="4" t="s">
        <v>33</v>
      </c>
      <c r="S60" s="6">
        <v>0</v>
      </c>
      <c r="T60" s="4" t="s">
        <v>33</v>
      </c>
      <c r="U60" s="4" t="s">
        <v>33</v>
      </c>
      <c r="V60" s="4" t="s">
        <v>33</v>
      </c>
      <c r="W60" s="4" t="s">
        <v>33</v>
      </c>
      <c r="X60" s="4" t="s">
        <v>33</v>
      </c>
      <c r="Y60" s="4" t="s">
        <v>33</v>
      </c>
      <c r="Z60" s="4" t="s">
        <v>33</v>
      </c>
      <c r="AA60" s="4" t="s">
        <v>33</v>
      </c>
      <c r="AB60" s="4" t="s">
        <v>33</v>
      </c>
      <c r="AC60" s="4" t="s">
        <v>33</v>
      </c>
    </row>
    <row r="61" spans="1:29" ht="15.75" customHeight="1" x14ac:dyDescent="0.2">
      <c r="A61" s="3" t="s">
        <v>13</v>
      </c>
      <c r="B61" s="3" t="s">
        <v>8</v>
      </c>
      <c r="C61" s="3" t="s">
        <v>29</v>
      </c>
      <c r="D61" s="8">
        <v>0</v>
      </c>
      <c r="E61" s="4" t="s">
        <v>33</v>
      </c>
      <c r="F61" s="3">
        <v>30</v>
      </c>
      <c r="G61" s="6">
        <v>22</v>
      </c>
      <c r="H61" s="10">
        <v>33</v>
      </c>
      <c r="I61" s="6">
        <v>21</v>
      </c>
      <c r="J61" s="6">
        <v>5</v>
      </c>
      <c r="K61" s="6">
        <v>2</v>
      </c>
      <c r="L61" s="4" t="s">
        <v>33</v>
      </c>
      <c r="M61" s="3">
        <v>1</v>
      </c>
      <c r="N61" s="3">
        <v>1</v>
      </c>
      <c r="O61" s="4" t="s">
        <v>33</v>
      </c>
      <c r="P61" s="4" t="s">
        <v>33</v>
      </c>
      <c r="Q61" s="3">
        <v>0</v>
      </c>
      <c r="R61" s="4" t="s">
        <v>33</v>
      </c>
      <c r="S61" s="4" t="s">
        <v>33</v>
      </c>
      <c r="T61" s="4" t="s">
        <v>33</v>
      </c>
      <c r="U61" s="4" t="s">
        <v>33</v>
      </c>
      <c r="V61" s="4" t="s">
        <v>33</v>
      </c>
      <c r="W61" s="4" t="s">
        <v>33</v>
      </c>
      <c r="X61" s="4" t="s">
        <v>33</v>
      </c>
      <c r="Y61" s="4" t="s">
        <v>33</v>
      </c>
      <c r="Z61" s="4" t="s">
        <v>33</v>
      </c>
      <c r="AA61" s="4" t="s">
        <v>33</v>
      </c>
      <c r="AB61" s="4" t="s">
        <v>33</v>
      </c>
      <c r="AC61" s="4" t="s">
        <v>33</v>
      </c>
    </row>
    <row r="62" spans="1:29" ht="15.75" customHeight="1" x14ac:dyDescent="0.2">
      <c r="A62" s="3" t="s">
        <v>13</v>
      </c>
      <c r="B62" s="3" t="s">
        <v>8</v>
      </c>
      <c r="C62" s="3" t="s">
        <v>30</v>
      </c>
      <c r="D62" s="8">
        <v>1</v>
      </c>
      <c r="E62" s="4" t="s">
        <v>33</v>
      </c>
      <c r="F62" s="3">
        <v>31</v>
      </c>
      <c r="G62" s="6">
        <v>20</v>
      </c>
      <c r="H62" s="10">
        <v>21</v>
      </c>
      <c r="I62" s="6">
        <v>10</v>
      </c>
      <c r="J62" s="6">
        <v>1</v>
      </c>
      <c r="K62" s="6">
        <v>1</v>
      </c>
      <c r="L62" s="4" t="s">
        <v>33</v>
      </c>
      <c r="M62" s="3">
        <v>1</v>
      </c>
      <c r="N62" s="3">
        <v>0</v>
      </c>
      <c r="O62" s="4" t="s">
        <v>33</v>
      </c>
      <c r="P62" s="4" t="s">
        <v>33</v>
      </c>
      <c r="Q62" s="3">
        <v>1</v>
      </c>
      <c r="R62" s="4" t="s">
        <v>33</v>
      </c>
      <c r="S62" s="4" t="s">
        <v>33</v>
      </c>
      <c r="T62" s="4" t="s">
        <v>33</v>
      </c>
      <c r="U62" s="4" t="s">
        <v>33</v>
      </c>
      <c r="V62" s="4" t="s">
        <v>33</v>
      </c>
      <c r="W62" s="4" t="s">
        <v>33</v>
      </c>
      <c r="X62" s="4" t="s">
        <v>33</v>
      </c>
      <c r="Y62" s="4" t="s">
        <v>33</v>
      </c>
      <c r="Z62" s="4" t="s">
        <v>33</v>
      </c>
      <c r="AA62" s="4" t="s">
        <v>33</v>
      </c>
      <c r="AB62" s="4" t="s">
        <v>33</v>
      </c>
      <c r="AC62" s="4" t="s">
        <v>33</v>
      </c>
    </row>
    <row r="63" spans="1:29" ht="15.75" customHeight="1" x14ac:dyDescent="0.2">
      <c r="A63" s="3" t="s">
        <v>14</v>
      </c>
      <c r="B63" s="3" t="s">
        <v>4</v>
      </c>
      <c r="C63" s="3" t="s">
        <v>29</v>
      </c>
      <c r="D63" s="4" t="s">
        <v>33</v>
      </c>
      <c r="E63" s="3">
        <v>0</v>
      </c>
      <c r="F63" s="3">
        <v>32</v>
      </c>
      <c r="G63" s="6">
        <v>5</v>
      </c>
      <c r="H63" s="10">
        <v>27</v>
      </c>
      <c r="I63" s="6">
        <v>32</v>
      </c>
      <c r="J63" s="6">
        <v>25</v>
      </c>
      <c r="K63" s="6">
        <v>5</v>
      </c>
      <c r="L63" s="6">
        <v>3</v>
      </c>
      <c r="M63" s="4" t="s">
        <v>33</v>
      </c>
      <c r="N63" s="4" t="s">
        <v>33</v>
      </c>
      <c r="O63" s="4" t="s">
        <v>33</v>
      </c>
      <c r="P63" s="4" t="s">
        <v>33</v>
      </c>
      <c r="Q63" s="4" t="s">
        <v>33</v>
      </c>
      <c r="R63" s="4" t="s">
        <v>33</v>
      </c>
      <c r="S63" s="4" t="s">
        <v>33</v>
      </c>
      <c r="T63" s="4" t="s">
        <v>33</v>
      </c>
      <c r="U63" s="4" t="s">
        <v>33</v>
      </c>
      <c r="V63" s="4" t="s">
        <v>33</v>
      </c>
      <c r="W63" s="4" t="s">
        <v>33</v>
      </c>
      <c r="X63" s="4" t="s">
        <v>33</v>
      </c>
      <c r="Y63" s="4" t="s">
        <v>33</v>
      </c>
      <c r="Z63" s="4" t="s">
        <v>33</v>
      </c>
      <c r="AA63" s="4" t="s">
        <v>33</v>
      </c>
      <c r="AB63" s="4" t="s">
        <v>33</v>
      </c>
      <c r="AC63" s="4" t="s">
        <v>33</v>
      </c>
    </row>
    <row r="64" spans="1:29" ht="15.75" customHeight="1" x14ac:dyDescent="0.2">
      <c r="A64" s="3" t="s">
        <v>14</v>
      </c>
      <c r="B64" s="3" t="s">
        <v>4</v>
      </c>
      <c r="C64" s="3" t="s">
        <v>30</v>
      </c>
      <c r="D64" s="4" t="s">
        <v>33</v>
      </c>
      <c r="E64" s="3">
        <v>1</v>
      </c>
      <c r="F64" s="3">
        <v>33</v>
      </c>
      <c r="G64" s="6">
        <v>12</v>
      </c>
      <c r="H64" s="10">
        <v>25</v>
      </c>
      <c r="I64" s="6">
        <v>23</v>
      </c>
      <c r="J64" s="6">
        <v>13</v>
      </c>
      <c r="K64" s="6">
        <v>6</v>
      </c>
      <c r="L64" s="6">
        <v>2</v>
      </c>
      <c r="M64" s="4" t="s">
        <v>33</v>
      </c>
      <c r="N64" s="4" t="s">
        <v>33</v>
      </c>
      <c r="O64" s="4" t="s">
        <v>33</v>
      </c>
      <c r="P64" s="4" t="s">
        <v>33</v>
      </c>
      <c r="Q64" s="4" t="s">
        <v>33</v>
      </c>
      <c r="R64" s="4" t="s">
        <v>33</v>
      </c>
      <c r="S64" s="4" t="s">
        <v>33</v>
      </c>
      <c r="T64" s="4" t="s">
        <v>33</v>
      </c>
      <c r="U64" s="4" t="s">
        <v>33</v>
      </c>
      <c r="V64" s="4" t="s">
        <v>33</v>
      </c>
      <c r="W64" s="4" t="s">
        <v>33</v>
      </c>
      <c r="X64" s="4" t="s">
        <v>33</v>
      </c>
      <c r="Y64" s="4" t="s">
        <v>33</v>
      </c>
      <c r="Z64" s="4" t="s">
        <v>33</v>
      </c>
      <c r="AA64" s="4" t="s">
        <v>33</v>
      </c>
      <c r="AB64" s="4" t="s">
        <v>33</v>
      </c>
      <c r="AC64" s="4" t="s">
        <v>33</v>
      </c>
    </row>
    <row r="65" spans="1:29" ht="15.75" customHeight="1" x14ac:dyDescent="0.2">
      <c r="A65" s="3" t="s">
        <v>14</v>
      </c>
      <c r="B65" s="3" t="s">
        <v>5</v>
      </c>
      <c r="C65" s="3" t="s">
        <v>29</v>
      </c>
      <c r="D65" s="4" t="s">
        <v>33</v>
      </c>
      <c r="E65" s="3">
        <v>0</v>
      </c>
      <c r="F65" s="3">
        <v>34</v>
      </c>
      <c r="G65" s="6">
        <v>8</v>
      </c>
      <c r="H65" s="10">
        <v>22</v>
      </c>
      <c r="I65" s="6">
        <v>27</v>
      </c>
      <c r="J65" s="6">
        <v>18</v>
      </c>
      <c r="K65" s="6">
        <v>7</v>
      </c>
      <c r="L65" s="6">
        <v>3</v>
      </c>
      <c r="M65" s="4" t="s">
        <v>33</v>
      </c>
      <c r="N65" s="4" t="s">
        <v>33</v>
      </c>
      <c r="O65" s="6">
        <v>1</v>
      </c>
      <c r="P65" s="4" t="s">
        <v>33</v>
      </c>
      <c r="Q65" s="4" t="s">
        <v>33</v>
      </c>
      <c r="R65" s="4" t="s">
        <v>33</v>
      </c>
      <c r="S65" s="4" t="s">
        <v>33</v>
      </c>
      <c r="T65" s="2">
        <v>0</v>
      </c>
      <c r="U65" s="4" t="s">
        <v>33</v>
      </c>
      <c r="V65" s="4" t="s">
        <v>33</v>
      </c>
      <c r="W65" s="4" t="s">
        <v>33</v>
      </c>
      <c r="X65" s="4" t="s">
        <v>33</v>
      </c>
      <c r="Y65" s="4" t="s">
        <v>33</v>
      </c>
      <c r="Z65" s="4" t="s">
        <v>33</v>
      </c>
      <c r="AA65" s="4" t="s">
        <v>33</v>
      </c>
      <c r="AB65" s="4" t="s">
        <v>33</v>
      </c>
      <c r="AC65" s="4" t="s">
        <v>33</v>
      </c>
    </row>
    <row r="66" spans="1:29" ht="15.75" customHeight="1" x14ac:dyDescent="0.2">
      <c r="A66" s="3" t="s">
        <v>14</v>
      </c>
      <c r="B66" s="3" t="s">
        <v>5</v>
      </c>
      <c r="C66" s="3" t="s">
        <v>30</v>
      </c>
      <c r="D66" s="4" t="s">
        <v>33</v>
      </c>
      <c r="E66" s="3">
        <v>1</v>
      </c>
      <c r="F66" s="3">
        <v>35</v>
      </c>
      <c r="G66" s="6">
        <v>13</v>
      </c>
      <c r="H66" s="10">
        <v>21</v>
      </c>
      <c r="I66" s="6">
        <v>27</v>
      </c>
      <c r="J66" s="6">
        <v>18</v>
      </c>
      <c r="K66" s="6">
        <v>2</v>
      </c>
      <c r="L66" s="6">
        <v>1</v>
      </c>
      <c r="M66" s="4" t="s">
        <v>33</v>
      </c>
      <c r="N66" s="4" t="s">
        <v>33</v>
      </c>
      <c r="O66" s="6">
        <v>1</v>
      </c>
      <c r="P66" s="4" t="s">
        <v>33</v>
      </c>
      <c r="Q66" s="4" t="s">
        <v>33</v>
      </c>
      <c r="R66" s="4" t="s">
        <v>33</v>
      </c>
      <c r="S66" s="4" t="s">
        <v>33</v>
      </c>
      <c r="T66" s="2">
        <v>0</v>
      </c>
      <c r="U66" s="4" t="s">
        <v>33</v>
      </c>
      <c r="V66" s="4" t="s">
        <v>33</v>
      </c>
      <c r="W66" s="4" t="s">
        <v>33</v>
      </c>
      <c r="X66" s="4" t="s">
        <v>33</v>
      </c>
      <c r="Y66" s="4" t="s">
        <v>33</v>
      </c>
      <c r="Z66" s="4" t="s">
        <v>33</v>
      </c>
      <c r="AA66" s="4" t="s">
        <v>33</v>
      </c>
      <c r="AB66" s="4" t="s">
        <v>33</v>
      </c>
      <c r="AC66" s="4" t="s">
        <v>33</v>
      </c>
    </row>
    <row r="67" spans="1:29" ht="15.75" customHeight="1" x14ac:dyDescent="0.2">
      <c r="A67" s="3" t="s">
        <v>14</v>
      </c>
      <c r="B67" s="3" t="s">
        <v>6</v>
      </c>
      <c r="C67" s="3" t="s">
        <v>29</v>
      </c>
      <c r="D67" s="4" t="s">
        <v>33</v>
      </c>
      <c r="E67" s="4" t="s">
        <v>33</v>
      </c>
      <c r="F67" s="3">
        <v>36</v>
      </c>
      <c r="G67" s="6">
        <v>1</v>
      </c>
      <c r="H67" s="10">
        <v>14</v>
      </c>
      <c r="I67" s="6">
        <v>25</v>
      </c>
      <c r="J67" s="6">
        <v>25</v>
      </c>
      <c r="K67" s="6">
        <v>10</v>
      </c>
      <c r="L67" s="6">
        <v>2</v>
      </c>
      <c r="M67" s="4" t="s">
        <v>33</v>
      </c>
      <c r="N67" s="3">
        <v>3</v>
      </c>
      <c r="O67" s="6">
        <v>2</v>
      </c>
      <c r="P67" s="4" t="s">
        <v>33</v>
      </c>
      <c r="Q67" s="4" t="s">
        <v>33</v>
      </c>
      <c r="R67" s="4" t="s">
        <v>33</v>
      </c>
      <c r="S67" s="4" t="s">
        <v>33</v>
      </c>
      <c r="T67" s="2">
        <v>1</v>
      </c>
      <c r="U67" s="4" t="s">
        <v>33</v>
      </c>
      <c r="V67" s="4" t="s">
        <v>33</v>
      </c>
      <c r="W67" s="4" t="s">
        <v>33</v>
      </c>
      <c r="X67" s="4" t="s">
        <v>33</v>
      </c>
      <c r="Y67" s="6">
        <v>1</v>
      </c>
      <c r="Z67" s="4" t="s">
        <v>33</v>
      </c>
      <c r="AA67" s="4" t="s">
        <v>33</v>
      </c>
      <c r="AB67" s="4" t="s">
        <v>33</v>
      </c>
      <c r="AC67" s="4" t="s">
        <v>33</v>
      </c>
    </row>
    <row r="68" spans="1:29" ht="15.75" customHeight="1" x14ac:dyDescent="0.2">
      <c r="A68" s="3" t="s">
        <v>14</v>
      </c>
      <c r="B68" s="3" t="s">
        <v>6</v>
      </c>
      <c r="C68" s="3" t="s">
        <v>30</v>
      </c>
      <c r="D68" s="4" t="s">
        <v>33</v>
      </c>
      <c r="E68" s="4" t="s">
        <v>33</v>
      </c>
      <c r="F68" s="3">
        <v>37</v>
      </c>
      <c r="G68" s="6">
        <v>6</v>
      </c>
      <c r="H68" s="10">
        <v>24</v>
      </c>
      <c r="I68" s="6">
        <v>29</v>
      </c>
      <c r="J68" s="6">
        <v>21</v>
      </c>
      <c r="K68" s="6">
        <v>8</v>
      </c>
      <c r="L68" s="6">
        <v>5</v>
      </c>
      <c r="M68" s="4" t="s">
        <v>33</v>
      </c>
      <c r="N68" s="3">
        <v>0</v>
      </c>
      <c r="O68" s="6">
        <v>0</v>
      </c>
      <c r="P68" s="4" t="s">
        <v>33</v>
      </c>
      <c r="Q68" s="4" t="s">
        <v>33</v>
      </c>
      <c r="R68" s="4" t="s">
        <v>33</v>
      </c>
      <c r="S68" s="4" t="s">
        <v>33</v>
      </c>
      <c r="T68" s="2">
        <v>1</v>
      </c>
      <c r="U68" s="4" t="s">
        <v>33</v>
      </c>
      <c r="V68" s="4" t="s">
        <v>33</v>
      </c>
      <c r="W68" s="4" t="s">
        <v>33</v>
      </c>
      <c r="X68" s="4" t="s">
        <v>33</v>
      </c>
      <c r="Y68" s="6">
        <v>0</v>
      </c>
      <c r="Z68" s="4" t="s">
        <v>33</v>
      </c>
      <c r="AA68" s="4" t="s">
        <v>33</v>
      </c>
      <c r="AB68" s="4" t="s">
        <v>33</v>
      </c>
      <c r="AC68" s="4" t="s">
        <v>33</v>
      </c>
    </row>
    <row r="69" spans="1:29" ht="15.75" customHeight="1" x14ac:dyDescent="0.2">
      <c r="A69" s="3" t="s">
        <v>14</v>
      </c>
      <c r="B69" s="3" t="s">
        <v>7</v>
      </c>
      <c r="C69" s="3" t="s">
        <v>29</v>
      </c>
      <c r="D69" s="4" t="s">
        <v>33</v>
      </c>
      <c r="E69" s="3">
        <v>0</v>
      </c>
      <c r="F69" s="3">
        <v>38</v>
      </c>
      <c r="G69" s="6">
        <v>10</v>
      </c>
      <c r="H69" s="10">
        <v>26</v>
      </c>
      <c r="I69" s="6">
        <v>28</v>
      </c>
      <c r="J69" s="6">
        <v>19</v>
      </c>
      <c r="K69" s="6">
        <v>9</v>
      </c>
      <c r="L69" s="6">
        <v>3</v>
      </c>
      <c r="M69" s="4" t="s">
        <v>33</v>
      </c>
      <c r="N69" s="3">
        <v>1</v>
      </c>
      <c r="O69" s="6">
        <v>0</v>
      </c>
      <c r="P69" s="4" t="s">
        <v>33</v>
      </c>
      <c r="Q69" s="4" t="s">
        <v>33</v>
      </c>
      <c r="R69" s="4" t="s">
        <v>33</v>
      </c>
      <c r="S69" s="4" t="s">
        <v>33</v>
      </c>
      <c r="T69" s="4" t="s">
        <v>33</v>
      </c>
      <c r="U69" s="4" t="s">
        <v>33</v>
      </c>
      <c r="V69" s="4" t="s">
        <v>33</v>
      </c>
      <c r="W69" s="4" t="s">
        <v>33</v>
      </c>
      <c r="X69" s="4" t="s">
        <v>33</v>
      </c>
      <c r="Y69" s="4" t="s">
        <v>33</v>
      </c>
      <c r="Z69" s="4" t="s">
        <v>33</v>
      </c>
      <c r="AA69" s="4" t="s">
        <v>33</v>
      </c>
      <c r="AB69" s="4" t="s">
        <v>33</v>
      </c>
      <c r="AC69" s="4" t="s">
        <v>33</v>
      </c>
    </row>
    <row r="70" spans="1:29" ht="15.75" customHeight="1" x14ac:dyDescent="0.2">
      <c r="A70" s="3" t="s">
        <v>14</v>
      </c>
      <c r="B70" s="3" t="s">
        <v>7</v>
      </c>
      <c r="C70" s="3" t="s">
        <v>30</v>
      </c>
      <c r="D70" s="4" t="s">
        <v>33</v>
      </c>
      <c r="E70" s="3">
        <v>1</v>
      </c>
      <c r="F70" s="3">
        <v>39</v>
      </c>
      <c r="G70" s="6">
        <v>9</v>
      </c>
      <c r="H70" s="10">
        <v>22</v>
      </c>
      <c r="I70" s="6">
        <v>22</v>
      </c>
      <c r="J70" s="6">
        <v>16</v>
      </c>
      <c r="K70" s="6">
        <v>8</v>
      </c>
      <c r="L70" s="6">
        <v>6</v>
      </c>
      <c r="M70" s="4" t="s">
        <v>33</v>
      </c>
      <c r="N70" s="3">
        <v>0</v>
      </c>
      <c r="O70" s="6">
        <v>1</v>
      </c>
      <c r="P70" s="4" t="s">
        <v>33</v>
      </c>
      <c r="Q70" s="4" t="s">
        <v>33</v>
      </c>
      <c r="R70" s="4" t="s">
        <v>33</v>
      </c>
      <c r="S70" s="4" t="s">
        <v>33</v>
      </c>
      <c r="T70" s="4" t="s">
        <v>33</v>
      </c>
      <c r="U70" s="4" t="s">
        <v>33</v>
      </c>
      <c r="V70" s="4" t="s">
        <v>33</v>
      </c>
      <c r="W70" s="4" t="s">
        <v>33</v>
      </c>
      <c r="X70" s="4" t="s">
        <v>33</v>
      </c>
      <c r="Y70" s="4" t="s">
        <v>33</v>
      </c>
      <c r="Z70" s="4" t="s">
        <v>33</v>
      </c>
      <c r="AA70" s="4" t="s">
        <v>33</v>
      </c>
      <c r="AB70" s="4" t="s">
        <v>33</v>
      </c>
      <c r="AC70" s="4" t="s">
        <v>33</v>
      </c>
    </row>
    <row r="71" spans="1:29" ht="15.75" customHeight="1" x14ac:dyDescent="0.2">
      <c r="A71" s="3" t="s">
        <v>14</v>
      </c>
      <c r="B71" s="3" t="s">
        <v>8</v>
      </c>
      <c r="C71" s="3" t="s">
        <v>29</v>
      </c>
      <c r="D71" s="4" t="s">
        <v>33</v>
      </c>
      <c r="E71" s="4" t="s">
        <v>33</v>
      </c>
      <c r="F71" s="3">
        <v>40</v>
      </c>
      <c r="G71" s="6">
        <v>8</v>
      </c>
      <c r="H71" s="10">
        <v>28</v>
      </c>
      <c r="I71" s="6">
        <v>20</v>
      </c>
      <c r="J71" s="6">
        <v>5</v>
      </c>
      <c r="K71" s="6">
        <v>1</v>
      </c>
      <c r="L71" s="6">
        <v>1</v>
      </c>
      <c r="M71" s="4" t="s">
        <v>33</v>
      </c>
      <c r="N71" s="4" t="s">
        <v>33</v>
      </c>
      <c r="O71" s="4" t="s">
        <v>33</v>
      </c>
      <c r="P71" s="4" t="s">
        <v>33</v>
      </c>
      <c r="Q71" s="4" t="s">
        <v>33</v>
      </c>
      <c r="R71" s="4" t="s">
        <v>33</v>
      </c>
      <c r="S71" s="4" t="s">
        <v>33</v>
      </c>
      <c r="T71" s="4" t="s">
        <v>33</v>
      </c>
      <c r="U71" s="4" t="s">
        <v>33</v>
      </c>
      <c r="V71" s="4" t="s">
        <v>33</v>
      </c>
      <c r="W71" s="4" t="s">
        <v>33</v>
      </c>
      <c r="X71" s="4" t="s">
        <v>33</v>
      </c>
      <c r="Y71" s="4" t="s">
        <v>33</v>
      </c>
      <c r="Z71" s="4" t="s">
        <v>33</v>
      </c>
      <c r="AA71" s="4" t="s">
        <v>33</v>
      </c>
      <c r="AB71" s="4" t="s">
        <v>33</v>
      </c>
      <c r="AC71" s="4" t="s">
        <v>33</v>
      </c>
    </row>
    <row r="72" spans="1:29" ht="15.75" customHeight="1" x14ac:dyDescent="0.2">
      <c r="A72" s="3" t="s">
        <v>14</v>
      </c>
      <c r="B72" s="3" t="s">
        <v>8</v>
      </c>
      <c r="C72" s="3" t="s">
        <v>30</v>
      </c>
      <c r="D72" s="4" t="s">
        <v>33</v>
      </c>
      <c r="E72" s="4" t="s">
        <v>33</v>
      </c>
      <c r="F72" s="3">
        <v>41</v>
      </c>
      <c r="G72" s="6">
        <v>15</v>
      </c>
      <c r="H72" s="10">
        <v>23</v>
      </c>
      <c r="I72" s="6">
        <v>8</v>
      </c>
      <c r="J72" s="6">
        <v>3</v>
      </c>
      <c r="K72" s="6">
        <v>0</v>
      </c>
      <c r="L72" s="6">
        <v>0</v>
      </c>
      <c r="M72" s="4" t="s">
        <v>33</v>
      </c>
      <c r="N72" s="4" t="s">
        <v>33</v>
      </c>
      <c r="O72" s="4" t="s">
        <v>33</v>
      </c>
      <c r="P72" s="4" t="s">
        <v>33</v>
      </c>
      <c r="Q72" s="4" t="s">
        <v>33</v>
      </c>
      <c r="R72" s="4" t="s">
        <v>33</v>
      </c>
      <c r="S72" s="4" t="s">
        <v>33</v>
      </c>
      <c r="T72" s="4" t="s">
        <v>33</v>
      </c>
      <c r="U72" s="4" t="s">
        <v>33</v>
      </c>
      <c r="V72" s="4" t="s">
        <v>33</v>
      </c>
      <c r="W72" s="4" t="s">
        <v>33</v>
      </c>
      <c r="X72" s="4" t="s">
        <v>33</v>
      </c>
      <c r="Y72" s="4" t="s">
        <v>33</v>
      </c>
      <c r="Z72" s="4" t="s">
        <v>33</v>
      </c>
      <c r="AA72" s="4" t="s">
        <v>33</v>
      </c>
      <c r="AB72" s="4" t="s">
        <v>33</v>
      </c>
      <c r="AC72" s="4" t="s">
        <v>33</v>
      </c>
    </row>
    <row r="73" spans="1:29" ht="15.75" customHeight="1" x14ac:dyDescent="0.2">
      <c r="A73" s="3" t="s">
        <v>15</v>
      </c>
      <c r="B73" s="3" t="s">
        <v>4</v>
      </c>
      <c r="C73" s="3" t="s">
        <v>29</v>
      </c>
      <c r="D73" s="8">
        <v>0</v>
      </c>
      <c r="E73" s="3">
        <v>1</v>
      </c>
      <c r="F73" s="3">
        <v>42</v>
      </c>
      <c r="G73" s="6">
        <v>32</v>
      </c>
      <c r="H73" s="10">
        <v>8</v>
      </c>
      <c r="I73" s="6">
        <v>2</v>
      </c>
      <c r="J73" s="4" t="s">
        <v>33</v>
      </c>
      <c r="K73" s="4" t="s">
        <v>33</v>
      </c>
      <c r="L73" s="4" t="s">
        <v>33</v>
      </c>
      <c r="M73" s="4" t="s">
        <v>33</v>
      </c>
      <c r="N73" s="4" t="s">
        <v>33</v>
      </c>
      <c r="O73" s="4" t="s">
        <v>33</v>
      </c>
      <c r="P73" s="4" t="s">
        <v>33</v>
      </c>
      <c r="Q73" s="4" t="s">
        <v>33</v>
      </c>
      <c r="R73" s="4" t="s">
        <v>33</v>
      </c>
      <c r="S73" s="4" t="s">
        <v>33</v>
      </c>
      <c r="T73" s="4" t="s">
        <v>33</v>
      </c>
      <c r="U73" s="4" t="s">
        <v>33</v>
      </c>
      <c r="V73" s="4" t="s">
        <v>33</v>
      </c>
      <c r="W73" s="4" t="s">
        <v>33</v>
      </c>
      <c r="X73" s="4" t="s">
        <v>33</v>
      </c>
      <c r="Y73" s="4" t="s">
        <v>33</v>
      </c>
      <c r="Z73" s="4" t="s">
        <v>33</v>
      </c>
      <c r="AA73" s="4" t="s">
        <v>33</v>
      </c>
      <c r="AB73" s="4" t="s">
        <v>33</v>
      </c>
      <c r="AC73" s="4" t="s">
        <v>33</v>
      </c>
    </row>
    <row r="74" spans="1:29" ht="15.75" customHeight="1" x14ac:dyDescent="0.2">
      <c r="A74" s="3" t="s">
        <v>15</v>
      </c>
      <c r="B74" s="3" t="s">
        <v>4</v>
      </c>
      <c r="C74" s="3" t="s">
        <v>30</v>
      </c>
      <c r="D74" s="8">
        <v>1</v>
      </c>
      <c r="E74" s="3">
        <v>6</v>
      </c>
      <c r="F74" s="3">
        <v>43</v>
      </c>
      <c r="G74" s="6">
        <v>12</v>
      </c>
      <c r="H74" s="10">
        <v>1</v>
      </c>
      <c r="I74" s="6">
        <v>1</v>
      </c>
      <c r="J74" s="4" t="s">
        <v>33</v>
      </c>
      <c r="K74" s="4" t="s">
        <v>33</v>
      </c>
      <c r="L74" s="4" t="s">
        <v>33</v>
      </c>
      <c r="M74" s="4" t="s">
        <v>33</v>
      </c>
      <c r="N74" s="4" t="s">
        <v>33</v>
      </c>
      <c r="O74" s="4" t="s">
        <v>33</v>
      </c>
      <c r="P74" s="4" t="s">
        <v>33</v>
      </c>
      <c r="Q74" s="4" t="s">
        <v>33</v>
      </c>
      <c r="R74" s="4" t="s">
        <v>33</v>
      </c>
      <c r="S74" s="4" t="s">
        <v>33</v>
      </c>
      <c r="T74" s="4" t="s">
        <v>33</v>
      </c>
      <c r="U74" s="4" t="s">
        <v>33</v>
      </c>
      <c r="V74" s="4" t="s">
        <v>33</v>
      </c>
      <c r="W74" s="4" t="s">
        <v>33</v>
      </c>
      <c r="X74" s="4" t="s">
        <v>33</v>
      </c>
      <c r="Y74" s="4" t="s">
        <v>33</v>
      </c>
      <c r="Z74" s="4" t="s">
        <v>33</v>
      </c>
      <c r="AA74" s="4" t="s">
        <v>33</v>
      </c>
      <c r="AB74" s="4" t="s">
        <v>33</v>
      </c>
      <c r="AC74" s="4" t="s">
        <v>33</v>
      </c>
    </row>
    <row r="75" spans="1:29" ht="15.75" customHeight="1" x14ac:dyDescent="0.2">
      <c r="A75" s="3" t="s">
        <v>15</v>
      </c>
      <c r="B75" s="3" t="s">
        <v>5</v>
      </c>
      <c r="C75" s="3" t="s">
        <v>29</v>
      </c>
      <c r="D75" s="8">
        <v>0</v>
      </c>
      <c r="E75" s="3">
        <v>0</v>
      </c>
      <c r="F75" s="3">
        <v>44</v>
      </c>
      <c r="G75" s="6">
        <v>27</v>
      </c>
      <c r="H75" s="10">
        <v>8</v>
      </c>
      <c r="I75" s="6">
        <v>0</v>
      </c>
      <c r="J75" s="6">
        <v>1</v>
      </c>
      <c r="K75" s="4" t="s">
        <v>33</v>
      </c>
      <c r="L75" s="4" t="s">
        <v>33</v>
      </c>
      <c r="M75" s="4" t="s">
        <v>33</v>
      </c>
      <c r="N75" s="4" t="s">
        <v>33</v>
      </c>
      <c r="O75" s="4" t="s">
        <v>33</v>
      </c>
      <c r="P75" s="4" t="s">
        <v>33</v>
      </c>
      <c r="Q75" s="4" t="s">
        <v>33</v>
      </c>
      <c r="R75" s="6">
        <v>1</v>
      </c>
      <c r="S75" s="4" t="s">
        <v>33</v>
      </c>
      <c r="T75" s="4" t="s">
        <v>33</v>
      </c>
      <c r="U75" s="4" t="s">
        <v>33</v>
      </c>
      <c r="V75" s="4" t="s">
        <v>33</v>
      </c>
      <c r="W75" s="4" t="s">
        <v>33</v>
      </c>
      <c r="X75" s="4" t="s">
        <v>33</v>
      </c>
      <c r="Y75" s="4" t="s">
        <v>33</v>
      </c>
      <c r="Z75" s="4" t="s">
        <v>33</v>
      </c>
      <c r="AA75" s="4" t="s">
        <v>33</v>
      </c>
      <c r="AB75" s="4" t="s">
        <v>33</v>
      </c>
      <c r="AC75" s="4" t="s">
        <v>33</v>
      </c>
    </row>
    <row r="76" spans="1:29" ht="15.75" customHeight="1" x14ac:dyDescent="0.2">
      <c r="A76" s="3" t="s">
        <v>15</v>
      </c>
      <c r="B76" s="3" t="s">
        <v>5</v>
      </c>
      <c r="C76" s="3" t="s">
        <v>30</v>
      </c>
      <c r="D76" s="8">
        <v>1</v>
      </c>
      <c r="E76" s="3">
        <v>4</v>
      </c>
      <c r="F76" s="3">
        <v>45</v>
      </c>
      <c r="G76" s="6">
        <v>20</v>
      </c>
      <c r="H76" s="10">
        <v>0</v>
      </c>
      <c r="I76" s="6">
        <v>1</v>
      </c>
      <c r="J76" s="6">
        <v>0</v>
      </c>
      <c r="K76" s="4" t="s">
        <v>33</v>
      </c>
      <c r="L76" s="4" t="s">
        <v>33</v>
      </c>
      <c r="M76" s="4" t="s">
        <v>33</v>
      </c>
      <c r="N76" s="4" t="s">
        <v>33</v>
      </c>
      <c r="O76" s="4" t="s">
        <v>33</v>
      </c>
      <c r="P76" s="4" t="s">
        <v>33</v>
      </c>
      <c r="Q76" s="4" t="s">
        <v>33</v>
      </c>
      <c r="R76" s="6">
        <v>0</v>
      </c>
      <c r="S76" s="4" t="s">
        <v>33</v>
      </c>
      <c r="T76" s="4" t="s">
        <v>33</v>
      </c>
      <c r="U76" s="4" t="s">
        <v>33</v>
      </c>
      <c r="V76" s="4" t="s">
        <v>33</v>
      </c>
      <c r="W76" s="4" t="s">
        <v>33</v>
      </c>
      <c r="X76" s="4" t="s">
        <v>33</v>
      </c>
      <c r="Y76" s="4" t="s">
        <v>33</v>
      </c>
      <c r="Z76" s="4" t="s">
        <v>33</v>
      </c>
      <c r="AA76" s="4" t="s">
        <v>33</v>
      </c>
      <c r="AB76" s="4" t="s">
        <v>33</v>
      </c>
      <c r="AC76" s="4" t="s">
        <v>33</v>
      </c>
    </row>
    <row r="77" spans="1:29" ht="15.75" customHeight="1" x14ac:dyDescent="0.2">
      <c r="A77" s="3" t="s">
        <v>15</v>
      </c>
      <c r="B77" s="3" t="s">
        <v>6</v>
      </c>
      <c r="C77" s="3" t="s">
        <v>29</v>
      </c>
      <c r="D77" s="4" t="s">
        <v>33</v>
      </c>
      <c r="E77" s="3">
        <v>0</v>
      </c>
      <c r="F77" s="3">
        <v>46</v>
      </c>
      <c r="G77" s="6">
        <v>21</v>
      </c>
      <c r="H77" s="10">
        <v>19</v>
      </c>
      <c r="I77" s="6">
        <v>3</v>
      </c>
      <c r="J77" s="6">
        <v>0</v>
      </c>
      <c r="K77" s="6">
        <v>0</v>
      </c>
      <c r="L77" s="4" t="s">
        <v>33</v>
      </c>
      <c r="M77" s="4" t="s">
        <v>33</v>
      </c>
      <c r="N77" s="3">
        <v>1</v>
      </c>
      <c r="O77" s="4" t="s">
        <v>33</v>
      </c>
      <c r="P77" s="4" t="s">
        <v>33</v>
      </c>
      <c r="Q77" s="4" t="s">
        <v>33</v>
      </c>
      <c r="R77" s="4" t="s">
        <v>33</v>
      </c>
      <c r="S77" s="4" t="s">
        <v>33</v>
      </c>
      <c r="T77" s="4" t="s">
        <v>33</v>
      </c>
      <c r="U77" s="4" t="s">
        <v>33</v>
      </c>
      <c r="V77" s="4" t="s">
        <v>33</v>
      </c>
      <c r="W77" s="4" t="s">
        <v>33</v>
      </c>
      <c r="X77" s="4" t="s">
        <v>33</v>
      </c>
      <c r="Y77" s="4" t="s">
        <v>33</v>
      </c>
      <c r="Z77" s="4" t="s">
        <v>33</v>
      </c>
      <c r="AA77" s="4" t="s">
        <v>33</v>
      </c>
      <c r="AB77" s="4" t="s">
        <v>33</v>
      </c>
      <c r="AC77" s="4" t="s">
        <v>33</v>
      </c>
    </row>
    <row r="78" spans="1:29" ht="15.75" customHeight="1" x14ac:dyDescent="0.2">
      <c r="A78" s="3" t="s">
        <v>15</v>
      </c>
      <c r="B78" s="3" t="s">
        <v>6</v>
      </c>
      <c r="C78" s="3" t="s">
        <v>30</v>
      </c>
      <c r="D78" s="4" t="s">
        <v>33</v>
      </c>
      <c r="E78" s="3">
        <v>4</v>
      </c>
      <c r="F78" s="3">
        <v>47</v>
      </c>
      <c r="G78" s="6">
        <v>15</v>
      </c>
      <c r="H78" s="10">
        <v>9</v>
      </c>
      <c r="I78" s="6">
        <v>0</v>
      </c>
      <c r="J78" s="6">
        <v>0</v>
      </c>
      <c r="K78" s="6">
        <v>0</v>
      </c>
      <c r="L78" s="4" t="s">
        <v>33</v>
      </c>
      <c r="M78" s="4" t="s">
        <v>33</v>
      </c>
      <c r="N78" s="3">
        <v>0</v>
      </c>
      <c r="O78" s="4" t="s">
        <v>33</v>
      </c>
      <c r="P78" s="4" t="s">
        <v>33</v>
      </c>
      <c r="Q78" s="4" t="s">
        <v>33</v>
      </c>
      <c r="R78" s="4" t="s">
        <v>33</v>
      </c>
      <c r="S78" s="4" t="s">
        <v>33</v>
      </c>
      <c r="T78" s="4" t="s">
        <v>33</v>
      </c>
      <c r="U78" s="4" t="s">
        <v>33</v>
      </c>
      <c r="V78" s="4" t="s">
        <v>33</v>
      </c>
      <c r="W78" s="4" t="s">
        <v>33</v>
      </c>
      <c r="X78" s="4" t="s">
        <v>33</v>
      </c>
      <c r="Y78" s="4" t="s">
        <v>33</v>
      </c>
      <c r="Z78" s="4" t="s">
        <v>33</v>
      </c>
      <c r="AA78" s="4" t="s">
        <v>33</v>
      </c>
      <c r="AB78" s="4" t="s">
        <v>33</v>
      </c>
      <c r="AC78" s="4" t="s">
        <v>33</v>
      </c>
    </row>
    <row r="79" spans="1:29" ht="15.75" customHeight="1" x14ac:dyDescent="0.2">
      <c r="A79" s="3" t="s">
        <v>15</v>
      </c>
      <c r="B79" s="3" t="s">
        <v>7</v>
      </c>
      <c r="C79" s="3" t="s">
        <v>29</v>
      </c>
      <c r="D79" s="4" t="s">
        <v>33</v>
      </c>
      <c r="E79" s="3">
        <v>1</v>
      </c>
      <c r="F79" s="3">
        <v>48</v>
      </c>
      <c r="G79" s="6">
        <v>20</v>
      </c>
      <c r="H79" s="10">
        <v>8</v>
      </c>
      <c r="I79" s="6">
        <v>1</v>
      </c>
      <c r="J79" s="4" t="s">
        <v>33</v>
      </c>
      <c r="K79" s="6">
        <v>1</v>
      </c>
      <c r="L79" s="4" t="s">
        <v>33</v>
      </c>
      <c r="M79" s="4" t="s">
        <v>33</v>
      </c>
      <c r="N79" s="4" t="s">
        <v>33</v>
      </c>
      <c r="O79" s="4" t="s">
        <v>33</v>
      </c>
      <c r="P79" s="4" t="s">
        <v>33</v>
      </c>
      <c r="Q79" s="4" t="s">
        <v>33</v>
      </c>
      <c r="R79" s="4" t="s">
        <v>33</v>
      </c>
      <c r="S79" s="4" t="s">
        <v>33</v>
      </c>
      <c r="T79" s="4" t="s">
        <v>33</v>
      </c>
      <c r="U79" s="4" t="s">
        <v>33</v>
      </c>
      <c r="V79" s="4" t="s">
        <v>33</v>
      </c>
      <c r="W79" s="4" t="s">
        <v>33</v>
      </c>
      <c r="X79" s="4" t="s">
        <v>33</v>
      </c>
      <c r="Y79" s="4" t="s">
        <v>33</v>
      </c>
      <c r="Z79" s="4" t="s">
        <v>33</v>
      </c>
      <c r="AA79" s="4" t="s">
        <v>33</v>
      </c>
      <c r="AB79" s="4" t="s">
        <v>33</v>
      </c>
      <c r="AC79" s="4" t="s">
        <v>33</v>
      </c>
    </row>
    <row r="80" spans="1:29" ht="15.75" customHeight="1" x14ac:dyDescent="0.2">
      <c r="A80" s="3" t="s">
        <v>15</v>
      </c>
      <c r="B80" s="3" t="s">
        <v>7</v>
      </c>
      <c r="C80" s="3" t="s">
        <v>30</v>
      </c>
      <c r="D80" s="4" t="s">
        <v>33</v>
      </c>
      <c r="E80" s="3">
        <v>10</v>
      </c>
      <c r="F80" s="3">
        <v>49</v>
      </c>
      <c r="G80" s="6">
        <v>7</v>
      </c>
      <c r="H80" s="10">
        <v>1</v>
      </c>
      <c r="I80" s="6">
        <v>0</v>
      </c>
      <c r="J80" s="4" t="s">
        <v>33</v>
      </c>
      <c r="K80" s="6">
        <v>1</v>
      </c>
      <c r="L80" s="4" t="s">
        <v>33</v>
      </c>
      <c r="M80" s="4" t="s">
        <v>33</v>
      </c>
      <c r="N80" s="4" t="s">
        <v>33</v>
      </c>
      <c r="O80" s="4" t="s">
        <v>33</v>
      </c>
      <c r="P80" s="4" t="s">
        <v>33</v>
      </c>
      <c r="Q80" s="4" t="s">
        <v>33</v>
      </c>
      <c r="R80" s="4" t="s">
        <v>33</v>
      </c>
      <c r="S80" s="4" t="s">
        <v>33</v>
      </c>
      <c r="T80" s="4" t="s">
        <v>33</v>
      </c>
      <c r="U80" s="4" t="s">
        <v>33</v>
      </c>
      <c r="V80" s="4" t="s">
        <v>33</v>
      </c>
      <c r="W80" s="4" t="s">
        <v>33</v>
      </c>
      <c r="X80" s="4" t="s">
        <v>33</v>
      </c>
      <c r="Y80" s="4" t="s">
        <v>33</v>
      </c>
      <c r="Z80" s="4" t="s">
        <v>33</v>
      </c>
      <c r="AA80" s="4" t="s">
        <v>33</v>
      </c>
      <c r="AB80" s="4" t="s">
        <v>33</v>
      </c>
      <c r="AC80" s="4" t="s">
        <v>33</v>
      </c>
    </row>
    <row r="81" spans="1:29" ht="15.75" customHeight="1" x14ac:dyDescent="0.2">
      <c r="A81" s="3" t="s">
        <v>15</v>
      </c>
      <c r="B81" s="3" t="s">
        <v>8</v>
      </c>
      <c r="C81" s="3" t="s">
        <v>29</v>
      </c>
      <c r="D81" s="4" t="s">
        <v>33</v>
      </c>
      <c r="E81" s="3">
        <v>0</v>
      </c>
      <c r="F81" s="3">
        <v>50</v>
      </c>
      <c r="G81" s="6">
        <v>17</v>
      </c>
      <c r="H81" s="10">
        <v>15</v>
      </c>
      <c r="I81" s="6">
        <v>3</v>
      </c>
      <c r="J81" s="4" t="s">
        <v>33</v>
      </c>
      <c r="K81" s="4" t="s">
        <v>33</v>
      </c>
      <c r="L81" s="4" t="s">
        <v>33</v>
      </c>
      <c r="M81" s="4" t="s">
        <v>33</v>
      </c>
      <c r="N81" s="4" t="s">
        <v>33</v>
      </c>
      <c r="O81" s="6">
        <v>1</v>
      </c>
      <c r="P81" s="6">
        <v>1</v>
      </c>
      <c r="Q81" s="4" t="s">
        <v>33</v>
      </c>
      <c r="R81" s="4" t="s">
        <v>33</v>
      </c>
      <c r="S81" s="4" t="s">
        <v>33</v>
      </c>
      <c r="T81" s="4" t="s">
        <v>33</v>
      </c>
      <c r="U81" s="4" t="s">
        <v>33</v>
      </c>
      <c r="V81" s="4" t="s">
        <v>33</v>
      </c>
      <c r="W81" s="4" t="s">
        <v>33</v>
      </c>
      <c r="X81" s="4" t="s">
        <v>33</v>
      </c>
      <c r="Y81" s="4" t="s">
        <v>33</v>
      </c>
      <c r="Z81" s="4" t="s">
        <v>33</v>
      </c>
      <c r="AA81" s="4" t="s">
        <v>33</v>
      </c>
      <c r="AB81" s="4" t="s">
        <v>33</v>
      </c>
      <c r="AC81" s="4" t="s">
        <v>33</v>
      </c>
    </row>
    <row r="82" spans="1:29" ht="15.75" customHeight="1" x14ac:dyDescent="0.2">
      <c r="A82" s="3" t="s">
        <v>15</v>
      </c>
      <c r="B82" s="3" t="s">
        <v>8</v>
      </c>
      <c r="C82" s="3" t="s">
        <v>30</v>
      </c>
      <c r="D82" s="4" t="s">
        <v>33</v>
      </c>
      <c r="E82" s="3">
        <v>1</v>
      </c>
      <c r="F82" s="3">
        <v>51</v>
      </c>
      <c r="G82" s="6">
        <v>18</v>
      </c>
      <c r="H82" s="10">
        <v>3</v>
      </c>
      <c r="I82" s="6">
        <v>0</v>
      </c>
      <c r="J82" s="4" t="s">
        <v>33</v>
      </c>
      <c r="K82" s="4" t="s">
        <v>33</v>
      </c>
      <c r="L82" s="4" t="s">
        <v>33</v>
      </c>
      <c r="M82" s="4" t="s">
        <v>33</v>
      </c>
      <c r="N82" s="4" t="s">
        <v>33</v>
      </c>
      <c r="O82" s="6">
        <v>0</v>
      </c>
      <c r="P82" s="6">
        <v>0</v>
      </c>
      <c r="Q82" s="4" t="s">
        <v>33</v>
      </c>
      <c r="R82" s="4" t="s">
        <v>33</v>
      </c>
      <c r="S82" s="4" t="s">
        <v>33</v>
      </c>
      <c r="T82" s="4" t="s">
        <v>33</v>
      </c>
      <c r="U82" s="4" t="s">
        <v>33</v>
      </c>
      <c r="V82" s="4" t="s">
        <v>33</v>
      </c>
      <c r="W82" s="4" t="s">
        <v>33</v>
      </c>
      <c r="X82" s="4" t="s">
        <v>33</v>
      </c>
      <c r="Y82" s="4" t="s">
        <v>33</v>
      </c>
      <c r="Z82" s="4" t="s">
        <v>33</v>
      </c>
      <c r="AA82" s="4" t="s">
        <v>33</v>
      </c>
      <c r="AB82" s="4" t="s">
        <v>33</v>
      </c>
      <c r="AC82" s="4" t="s">
        <v>33</v>
      </c>
    </row>
    <row r="83" spans="1:29" ht="15.75" customHeight="1" x14ac:dyDescent="0.2">
      <c r="A83" s="3" t="s">
        <v>16</v>
      </c>
      <c r="B83" s="3" t="s">
        <v>4</v>
      </c>
      <c r="C83" s="3" t="s">
        <v>29</v>
      </c>
      <c r="D83" s="4" t="s">
        <v>33</v>
      </c>
      <c r="E83" s="3">
        <v>1</v>
      </c>
      <c r="F83" s="3">
        <v>52</v>
      </c>
      <c r="G83" s="6">
        <v>30</v>
      </c>
      <c r="H83" s="10">
        <v>20</v>
      </c>
      <c r="I83" s="6">
        <v>2</v>
      </c>
      <c r="J83" s="4" t="s">
        <v>33</v>
      </c>
      <c r="K83" s="4" t="s">
        <v>33</v>
      </c>
      <c r="L83" s="4" t="s">
        <v>33</v>
      </c>
      <c r="M83" s="4" t="s">
        <v>33</v>
      </c>
      <c r="N83" s="4" t="s">
        <v>33</v>
      </c>
      <c r="O83" s="4" t="s">
        <v>33</v>
      </c>
      <c r="P83" s="4" t="s">
        <v>33</v>
      </c>
      <c r="Q83" s="4" t="s">
        <v>33</v>
      </c>
      <c r="R83" s="4" t="s">
        <v>33</v>
      </c>
      <c r="S83" s="4" t="s">
        <v>33</v>
      </c>
      <c r="T83" s="4" t="s">
        <v>33</v>
      </c>
      <c r="U83" s="4" t="s">
        <v>33</v>
      </c>
      <c r="V83" s="4" t="s">
        <v>33</v>
      </c>
      <c r="W83" s="4" t="s">
        <v>33</v>
      </c>
      <c r="X83" s="4" t="s">
        <v>33</v>
      </c>
      <c r="Y83" s="4" t="s">
        <v>33</v>
      </c>
      <c r="Z83" s="4" t="s">
        <v>33</v>
      </c>
      <c r="AA83" s="4" t="s">
        <v>33</v>
      </c>
      <c r="AB83" s="4" t="s">
        <v>33</v>
      </c>
      <c r="AC83" s="4" t="s">
        <v>33</v>
      </c>
    </row>
    <row r="84" spans="1:29" ht="15.75" customHeight="1" x14ac:dyDescent="0.2">
      <c r="A84" s="3" t="s">
        <v>16</v>
      </c>
      <c r="B84" s="3" t="s">
        <v>4</v>
      </c>
      <c r="C84" s="3" t="s">
        <v>30</v>
      </c>
      <c r="D84" s="4" t="s">
        <v>33</v>
      </c>
      <c r="E84" s="3">
        <v>5</v>
      </c>
      <c r="F84" s="3">
        <v>53</v>
      </c>
      <c r="G84" s="6">
        <v>25</v>
      </c>
      <c r="H84" s="10">
        <v>13</v>
      </c>
      <c r="I84" s="6">
        <v>6</v>
      </c>
      <c r="J84" s="4" t="s">
        <v>33</v>
      </c>
      <c r="K84" s="4" t="s">
        <v>33</v>
      </c>
      <c r="L84" s="4" t="s">
        <v>33</v>
      </c>
      <c r="M84" s="4" t="s">
        <v>33</v>
      </c>
      <c r="N84" s="4" t="s">
        <v>33</v>
      </c>
      <c r="O84" s="4" t="s">
        <v>33</v>
      </c>
      <c r="P84" s="4" t="s">
        <v>33</v>
      </c>
      <c r="Q84" s="4" t="s">
        <v>33</v>
      </c>
      <c r="R84" s="4" t="s">
        <v>33</v>
      </c>
      <c r="S84" s="4" t="s">
        <v>33</v>
      </c>
      <c r="T84" s="4" t="s">
        <v>33</v>
      </c>
      <c r="U84" s="4" t="s">
        <v>33</v>
      </c>
      <c r="V84" s="4" t="s">
        <v>33</v>
      </c>
      <c r="W84" s="4" t="s">
        <v>33</v>
      </c>
      <c r="X84" s="4" t="s">
        <v>33</v>
      </c>
      <c r="Y84" s="4" t="s">
        <v>33</v>
      </c>
      <c r="Z84" s="4" t="s">
        <v>33</v>
      </c>
      <c r="AA84" s="4" t="s">
        <v>33</v>
      </c>
      <c r="AB84" s="4" t="s">
        <v>33</v>
      </c>
      <c r="AC84" s="4" t="s">
        <v>33</v>
      </c>
    </row>
    <row r="85" spans="1:29" ht="15.75" customHeight="1" x14ac:dyDescent="0.2">
      <c r="A85" s="3" t="s">
        <v>16</v>
      </c>
      <c r="B85" s="3" t="s">
        <v>5</v>
      </c>
      <c r="C85" s="3" t="s">
        <v>29</v>
      </c>
      <c r="D85" s="4" t="s">
        <v>33</v>
      </c>
      <c r="E85" s="3">
        <v>3</v>
      </c>
      <c r="F85" s="3">
        <v>54</v>
      </c>
      <c r="G85" s="6">
        <v>27</v>
      </c>
      <c r="H85" s="10">
        <v>28</v>
      </c>
      <c r="I85" s="6">
        <v>7</v>
      </c>
      <c r="J85" s="6">
        <v>1</v>
      </c>
      <c r="K85" s="4" t="s">
        <v>33</v>
      </c>
      <c r="L85" s="6">
        <v>0</v>
      </c>
      <c r="M85" s="4" t="s">
        <v>33</v>
      </c>
      <c r="N85" s="4" t="s">
        <v>33</v>
      </c>
      <c r="O85" s="4" t="s">
        <v>33</v>
      </c>
      <c r="P85" s="4" t="s">
        <v>33</v>
      </c>
      <c r="Q85" s="4" t="s">
        <v>33</v>
      </c>
      <c r="R85" s="4" t="s">
        <v>33</v>
      </c>
      <c r="S85" s="6">
        <v>0</v>
      </c>
      <c r="T85" s="2">
        <v>1</v>
      </c>
      <c r="U85" s="4" t="s">
        <v>33</v>
      </c>
      <c r="V85" s="4" t="s">
        <v>33</v>
      </c>
      <c r="W85" s="4" t="s">
        <v>33</v>
      </c>
      <c r="X85" s="4" t="s">
        <v>33</v>
      </c>
      <c r="Y85" s="4" t="s">
        <v>33</v>
      </c>
      <c r="Z85" s="4" t="s">
        <v>33</v>
      </c>
      <c r="AA85" s="4" t="s">
        <v>33</v>
      </c>
      <c r="AB85" s="4" t="s">
        <v>33</v>
      </c>
      <c r="AC85" s="4" t="s">
        <v>33</v>
      </c>
    </row>
    <row r="86" spans="1:29" ht="15.75" customHeight="1" x14ac:dyDescent="0.2">
      <c r="A86" s="3" t="s">
        <v>16</v>
      </c>
      <c r="B86" s="3" t="s">
        <v>5</v>
      </c>
      <c r="C86" s="3" t="s">
        <v>30</v>
      </c>
      <c r="D86" s="4" t="s">
        <v>33</v>
      </c>
      <c r="E86" s="3">
        <v>3</v>
      </c>
      <c r="F86" s="3">
        <v>55</v>
      </c>
      <c r="G86" s="6">
        <v>10</v>
      </c>
      <c r="H86" s="10">
        <v>20</v>
      </c>
      <c r="I86" s="6">
        <v>7</v>
      </c>
      <c r="J86" s="6">
        <v>1</v>
      </c>
      <c r="K86" s="4" t="s">
        <v>33</v>
      </c>
      <c r="L86" s="6">
        <v>1</v>
      </c>
      <c r="M86" s="4" t="s">
        <v>33</v>
      </c>
      <c r="N86" s="4" t="s">
        <v>33</v>
      </c>
      <c r="O86" s="4" t="s">
        <v>33</v>
      </c>
      <c r="P86" s="4" t="s">
        <v>33</v>
      </c>
      <c r="Q86" s="4" t="s">
        <v>33</v>
      </c>
      <c r="R86" s="4" t="s">
        <v>33</v>
      </c>
      <c r="S86" s="6">
        <v>1</v>
      </c>
      <c r="T86" s="2">
        <v>0</v>
      </c>
      <c r="U86" s="4" t="s">
        <v>33</v>
      </c>
      <c r="V86" s="4" t="s">
        <v>33</v>
      </c>
      <c r="W86" s="4" t="s">
        <v>33</v>
      </c>
      <c r="X86" s="4" t="s">
        <v>33</v>
      </c>
      <c r="Y86" s="4" t="s">
        <v>33</v>
      </c>
      <c r="Z86" s="4" t="s">
        <v>33</v>
      </c>
      <c r="AA86" s="4" t="s">
        <v>33</v>
      </c>
      <c r="AB86" s="4" t="s">
        <v>33</v>
      </c>
      <c r="AC86" s="4" t="s">
        <v>33</v>
      </c>
    </row>
    <row r="87" spans="1:29" ht="15.75" customHeight="1" x14ac:dyDescent="0.2">
      <c r="A87" s="3" t="s">
        <v>16</v>
      </c>
      <c r="B87" s="3" t="s">
        <v>6</v>
      </c>
      <c r="C87" s="3" t="s">
        <v>29</v>
      </c>
      <c r="D87" s="4" t="s">
        <v>33</v>
      </c>
      <c r="E87" s="3">
        <v>0</v>
      </c>
      <c r="F87" s="3">
        <v>56</v>
      </c>
      <c r="G87" s="6">
        <v>26</v>
      </c>
      <c r="H87" s="10">
        <v>28</v>
      </c>
      <c r="I87" s="6">
        <v>6</v>
      </c>
      <c r="J87" s="6">
        <v>4</v>
      </c>
      <c r="K87" s="4" t="s">
        <v>33</v>
      </c>
      <c r="L87" s="6">
        <v>1</v>
      </c>
      <c r="M87" s="4" t="s">
        <v>33</v>
      </c>
      <c r="N87" s="4" t="s">
        <v>33</v>
      </c>
      <c r="O87" s="4" t="s">
        <v>33</v>
      </c>
      <c r="P87" s="4" t="s">
        <v>33</v>
      </c>
      <c r="Q87" s="4" t="s">
        <v>33</v>
      </c>
      <c r="R87" s="6">
        <v>1</v>
      </c>
      <c r="S87" s="4" t="s">
        <v>33</v>
      </c>
      <c r="T87" s="4" t="s">
        <v>33</v>
      </c>
      <c r="U87" s="4" t="s">
        <v>33</v>
      </c>
      <c r="V87" s="4" t="s">
        <v>33</v>
      </c>
      <c r="W87" s="4" t="s">
        <v>33</v>
      </c>
      <c r="X87" s="4" t="s">
        <v>33</v>
      </c>
      <c r="Y87" s="4" t="s">
        <v>33</v>
      </c>
      <c r="Z87" s="4" t="s">
        <v>33</v>
      </c>
      <c r="AA87" s="4" t="s">
        <v>33</v>
      </c>
      <c r="AB87" s="4" t="s">
        <v>33</v>
      </c>
      <c r="AC87" s="4" t="s">
        <v>33</v>
      </c>
    </row>
    <row r="88" spans="1:29" ht="15.75" customHeight="1" x14ac:dyDescent="0.2">
      <c r="A88" s="3" t="s">
        <v>16</v>
      </c>
      <c r="B88" s="3" t="s">
        <v>6</v>
      </c>
      <c r="C88" s="3" t="s">
        <v>30</v>
      </c>
      <c r="D88" s="4" t="s">
        <v>33</v>
      </c>
      <c r="E88" s="3">
        <v>2</v>
      </c>
      <c r="F88" s="3">
        <v>57</v>
      </c>
      <c r="G88" s="6">
        <v>38</v>
      </c>
      <c r="H88" s="10">
        <v>21</v>
      </c>
      <c r="I88" s="6">
        <v>5</v>
      </c>
      <c r="J88" s="6">
        <v>1</v>
      </c>
      <c r="K88" s="4" t="s">
        <v>33</v>
      </c>
      <c r="L88" s="6">
        <v>0</v>
      </c>
      <c r="M88" s="4" t="s">
        <v>33</v>
      </c>
      <c r="N88" s="4" t="s">
        <v>33</v>
      </c>
      <c r="O88" s="4" t="s">
        <v>33</v>
      </c>
      <c r="P88" s="4" t="s">
        <v>33</v>
      </c>
      <c r="Q88" s="4" t="s">
        <v>33</v>
      </c>
      <c r="R88" s="6">
        <v>0</v>
      </c>
      <c r="S88" s="4" t="s">
        <v>33</v>
      </c>
      <c r="T88" s="4" t="s">
        <v>33</v>
      </c>
      <c r="U88" s="4" t="s">
        <v>33</v>
      </c>
      <c r="V88" s="4" t="s">
        <v>33</v>
      </c>
      <c r="W88" s="4" t="s">
        <v>33</v>
      </c>
      <c r="X88" s="4" t="s">
        <v>33</v>
      </c>
      <c r="Y88" s="4" t="s">
        <v>33</v>
      </c>
      <c r="Z88" s="4" t="s">
        <v>33</v>
      </c>
      <c r="AA88" s="4" t="s">
        <v>33</v>
      </c>
      <c r="AB88" s="4" t="s">
        <v>33</v>
      </c>
      <c r="AC88" s="4" t="s">
        <v>33</v>
      </c>
    </row>
    <row r="89" spans="1:29" ht="15.75" customHeight="1" x14ac:dyDescent="0.2">
      <c r="A89" s="3" t="s">
        <v>16</v>
      </c>
      <c r="B89" s="3" t="s">
        <v>7</v>
      </c>
      <c r="C89" s="3" t="s">
        <v>29</v>
      </c>
      <c r="D89" s="8">
        <v>0</v>
      </c>
      <c r="E89" s="3">
        <v>3</v>
      </c>
      <c r="F89" s="3">
        <v>58</v>
      </c>
      <c r="G89" s="6">
        <v>26</v>
      </c>
      <c r="H89" s="10">
        <v>19</v>
      </c>
      <c r="I89" s="6">
        <v>9</v>
      </c>
      <c r="J89" s="6">
        <v>2</v>
      </c>
      <c r="K89" s="4" t="s">
        <v>33</v>
      </c>
      <c r="L89" s="6">
        <v>0</v>
      </c>
      <c r="M89" s="4" t="s">
        <v>33</v>
      </c>
      <c r="N89" s="3">
        <v>1</v>
      </c>
      <c r="O89" s="4" t="s">
        <v>33</v>
      </c>
      <c r="P89" s="4" t="s">
        <v>33</v>
      </c>
      <c r="Q89" s="4" t="s">
        <v>33</v>
      </c>
      <c r="R89" s="4" t="s">
        <v>33</v>
      </c>
      <c r="S89" s="4" t="s">
        <v>33</v>
      </c>
      <c r="T89" s="4" t="s">
        <v>33</v>
      </c>
      <c r="U89" s="4" t="s">
        <v>33</v>
      </c>
      <c r="V89" s="4" t="s">
        <v>33</v>
      </c>
      <c r="W89" s="4" t="s">
        <v>33</v>
      </c>
      <c r="X89" s="4" t="s">
        <v>33</v>
      </c>
      <c r="Y89" s="4" t="s">
        <v>33</v>
      </c>
      <c r="Z89" s="4" t="s">
        <v>33</v>
      </c>
      <c r="AA89" s="4" t="s">
        <v>33</v>
      </c>
      <c r="AB89" s="4" t="s">
        <v>33</v>
      </c>
      <c r="AC89" s="4" t="s">
        <v>33</v>
      </c>
    </row>
    <row r="90" spans="1:29" ht="15.75" customHeight="1" x14ac:dyDescent="0.2">
      <c r="A90" s="3" t="s">
        <v>16</v>
      </c>
      <c r="B90" s="3" t="s">
        <v>7</v>
      </c>
      <c r="C90" s="3" t="s">
        <v>30</v>
      </c>
      <c r="D90" s="8">
        <v>1</v>
      </c>
      <c r="E90" s="3">
        <v>2</v>
      </c>
      <c r="F90" s="3">
        <v>59</v>
      </c>
      <c r="G90" s="6">
        <v>23</v>
      </c>
      <c r="H90" s="10">
        <v>14</v>
      </c>
      <c r="I90" s="6">
        <v>2</v>
      </c>
      <c r="J90" s="6">
        <v>0</v>
      </c>
      <c r="K90" s="4" t="s">
        <v>33</v>
      </c>
      <c r="L90" s="6">
        <v>1</v>
      </c>
      <c r="M90" s="4" t="s">
        <v>33</v>
      </c>
      <c r="N90" s="3">
        <v>1</v>
      </c>
      <c r="O90" s="4" t="s">
        <v>33</v>
      </c>
      <c r="P90" s="4" t="s">
        <v>33</v>
      </c>
      <c r="Q90" s="4" t="s">
        <v>33</v>
      </c>
      <c r="R90" s="4" t="s">
        <v>33</v>
      </c>
      <c r="S90" s="4" t="s">
        <v>33</v>
      </c>
      <c r="T90" s="4" t="s">
        <v>33</v>
      </c>
      <c r="U90" s="4" t="s">
        <v>33</v>
      </c>
      <c r="V90" s="4" t="s">
        <v>33</v>
      </c>
      <c r="W90" s="4" t="s">
        <v>33</v>
      </c>
      <c r="X90" s="4" t="s">
        <v>33</v>
      </c>
      <c r="Y90" s="4" t="s">
        <v>33</v>
      </c>
      <c r="Z90" s="4" t="s">
        <v>33</v>
      </c>
      <c r="AA90" s="4" t="s">
        <v>33</v>
      </c>
      <c r="AB90" s="4" t="s">
        <v>33</v>
      </c>
      <c r="AC90" s="4" t="s">
        <v>33</v>
      </c>
    </row>
    <row r="91" spans="1:29" ht="15.75" customHeight="1" x14ac:dyDescent="0.2">
      <c r="A91" s="3" t="s">
        <v>16</v>
      </c>
      <c r="B91" s="3" t="s">
        <v>8</v>
      </c>
      <c r="C91" s="3" t="s">
        <v>29</v>
      </c>
      <c r="D91" s="4" t="s">
        <v>33</v>
      </c>
      <c r="E91" s="4" t="s">
        <v>33</v>
      </c>
      <c r="F91" s="3">
        <v>60</v>
      </c>
      <c r="G91" s="6">
        <v>11</v>
      </c>
      <c r="H91" s="10">
        <v>30</v>
      </c>
      <c r="I91" s="6">
        <v>15</v>
      </c>
      <c r="J91" s="6">
        <v>0</v>
      </c>
      <c r="K91" s="6">
        <v>2</v>
      </c>
      <c r="L91" s="6">
        <v>0</v>
      </c>
      <c r="M91" s="4" t="s">
        <v>33</v>
      </c>
      <c r="N91" s="4" t="s">
        <v>33</v>
      </c>
      <c r="O91" s="4" t="s">
        <v>33</v>
      </c>
      <c r="P91" s="4" t="s">
        <v>33</v>
      </c>
      <c r="Q91" s="4" t="s">
        <v>33</v>
      </c>
      <c r="R91" s="4" t="s">
        <v>33</v>
      </c>
      <c r="S91" s="4" t="s">
        <v>33</v>
      </c>
      <c r="T91" s="4" t="s">
        <v>33</v>
      </c>
      <c r="U91" s="4" t="s">
        <v>33</v>
      </c>
      <c r="V91" s="4" t="s">
        <v>33</v>
      </c>
      <c r="W91" s="4" t="s">
        <v>33</v>
      </c>
      <c r="X91" s="4" t="s">
        <v>33</v>
      </c>
      <c r="Y91" s="4" t="s">
        <v>33</v>
      </c>
      <c r="Z91" s="4" t="s">
        <v>33</v>
      </c>
      <c r="AA91" s="4" t="s">
        <v>33</v>
      </c>
      <c r="AB91" s="4" t="s">
        <v>33</v>
      </c>
      <c r="AC91" s="4" t="s">
        <v>33</v>
      </c>
    </row>
    <row r="92" spans="1:29" ht="15.75" customHeight="1" x14ac:dyDescent="0.2">
      <c r="A92" s="3" t="s">
        <v>16</v>
      </c>
      <c r="B92" s="3" t="s">
        <v>8</v>
      </c>
      <c r="C92" s="3" t="s">
        <v>30</v>
      </c>
      <c r="D92" s="4" t="s">
        <v>33</v>
      </c>
      <c r="E92" s="4" t="s">
        <v>33</v>
      </c>
      <c r="F92" s="3">
        <v>61</v>
      </c>
      <c r="G92" s="6">
        <v>17</v>
      </c>
      <c r="H92" s="10">
        <v>21</v>
      </c>
      <c r="I92" s="6">
        <v>12</v>
      </c>
      <c r="J92" s="6">
        <v>2</v>
      </c>
      <c r="K92" s="6">
        <v>1</v>
      </c>
      <c r="L92" s="6">
        <v>1</v>
      </c>
      <c r="M92" s="4" t="s">
        <v>33</v>
      </c>
      <c r="N92" s="4" t="s">
        <v>33</v>
      </c>
      <c r="O92" s="4" t="s">
        <v>33</v>
      </c>
      <c r="P92" s="4" t="s">
        <v>33</v>
      </c>
      <c r="Q92" s="4" t="s">
        <v>33</v>
      </c>
      <c r="R92" s="4" t="s">
        <v>33</v>
      </c>
      <c r="S92" s="4" t="s">
        <v>33</v>
      </c>
      <c r="T92" s="4" t="s">
        <v>33</v>
      </c>
      <c r="U92" s="4" t="s">
        <v>33</v>
      </c>
      <c r="V92" s="4" t="s">
        <v>33</v>
      </c>
      <c r="W92" s="4" t="s">
        <v>33</v>
      </c>
      <c r="X92" s="4" t="s">
        <v>33</v>
      </c>
      <c r="Y92" s="4" t="s">
        <v>33</v>
      </c>
      <c r="Z92" s="4" t="s">
        <v>33</v>
      </c>
      <c r="AA92" s="4" t="s">
        <v>33</v>
      </c>
      <c r="AB92" s="4" t="s">
        <v>33</v>
      </c>
      <c r="AC92" s="4" t="s">
        <v>33</v>
      </c>
    </row>
    <row r="93" spans="1:29" ht="15.75" customHeight="1" x14ac:dyDescent="0.2">
      <c r="A93" s="3" t="s">
        <v>17</v>
      </c>
      <c r="B93" s="3" t="s">
        <v>4</v>
      </c>
      <c r="C93" s="3" t="s">
        <v>29</v>
      </c>
      <c r="D93" s="4" t="s">
        <v>33</v>
      </c>
      <c r="E93" s="3">
        <v>0</v>
      </c>
      <c r="F93" s="3">
        <v>62</v>
      </c>
      <c r="G93" s="6">
        <v>15</v>
      </c>
      <c r="H93" s="10">
        <v>10</v>
      </c>
      <c r="I93" s="6">
        <v>3</v>
      </c>
      <c r="J93" s="4" t="s">
        <v>33</v>
      </c>
      <c r="K93" s="4" t="s">
        <v>33</v>
      </c>
      <c r="L93" s="4" t="s">
        <v>33</v>
      </c>
      <c r="M93" s="4" t="s">
        <v>33</v>
      </c>
      <c r="N93" s="4" t="s">
        <v>33</v>
      </c>
      <c r="O93" s="6">
        <v>0</v>
      </c>
      <c r="P93" s="4" t="s">
        <v>33</v>
      </c>
      <c r="Q93" s="4" t="s">
        <v>33</v>
      </c>
      <c r="R93" s="4" t="s">
        <v>33</v>
      </c>
      <c r="S93" s="4" t="s">
        <v>33</v>
      </c>
      <c r="T93" s="2">
        <v>1</v>
      </c>
      <c r="U93" s="4" t="s">
        <v>33</v>
      </c>
      <c r="V93" s="4" t="s">
        <v>33</v>
      </c>
      <c r="W93" s="4" t="s">
        <v>33</v>
      </c>
      <c r="X93" s="4" t="s">
        <v>33</v>
      </c>
      <c r="Y93" s="4" t="s">
        <v>33</v>
      </c>
      <c r="Z93" s="4" t="s">
        <v>33</v>
      </c>
      <c r="AA93" s="4" t="s">
        <v>33</v>
      </c>
      <c r="AB93" s="4" t="s">
        <v>33</v>
      </c>
      <c r="AC93" s="4" t="s">
        <v>33</v>
      </c>
    </row>
    <row r="94" spans="1:29" ht="15.75" customHeight="1" x14ac:dyDescent="0.2">
      <c r="A94" s="3" t="s">
        <v>17</v>
      </c>
      <c r="B94" s="3" t="s">
        <v>4</v>
      </c>
      <c r="C94" s="3" t="s">
        <v>30</v>
      </c>
      <c r="D94" s="4" t="s">
        <v>33</v>
      </c>
      <c r="E94" s="3">
        <v>3</v>
      </c>
      <c r="F94" s="3">
        <v>63</v>
      </c>
      <c r="G94" s="6">
        <v>14</v>
      </c>
      <c r="H94" s="10">
        <v>5</v>
      </c>
      <c r="I94" s="6">
        <v>0</v>
      </c>
      <c r="J94" s="4" t="s">
        <v>33</v>
      </c>
      <c r="K94" s="4" t="s">
        <v>33</v>
      </c>
      <c r="L94" s="4" t="s">
        <v>33</v>
      </c>
      <c r="M94" s="4" t="s">
        <v>33</v>
      </c>
      <c r="N94" s="4" t="s">
        <v>33</v>
      </c>
      <c r="O94" s="6">
        <v>1</v>
      </c>
      <c r="P94" s="4" t="s">
        <v>33</v>
      </c>
      <c r="Q94" s="4" t="s">
        <v>33</v>
      </c>
      <c r="R94" s="4" t="s">
        <v>33</v>
      </c>
      <c r="S94" s="4" t="s">
        <v>33</v>
      </c>
      <c r="T94" s="2">
        <v>0</v>
      </c>
      <c r="U94" s="4" t="s">
        <v>33</v>
      </c>
      <c r="V94" s="4" t="s">
        <v>33</v>
      </c>
      <c r="W94" s="4" t="s">
        <v>33</v>
      </c>
      <c r="X94" s="4" t="s">
        <v>33</v>
      </c>
      <c r="Y94" s="4" t="s">
        <v>33</v>
      </c>
      <c r="Z94" s="4" t="s">
        <v>33</v>
      </c>
      <c r="AA94" s="4" t="s">
        <v>33</v>
      </c>
      <c r="AB94" s="4" t="s">
        <v>33</v>
      </c>
      <c r="AC94" s="4" t="s">
        <v>33</v>
      </c>
    </row>
    <row r="95" spans="1:29" ht="15.75" customHeight="1" x14ac:dyDescent="0.2">
      <c r="A95" s="3" t="s">
        <v>17</v>
      </c>
      <c r="B95" s="3" t="s">
        <v>5</v>
      </c>
      <c r="C95" s="3" t="s">
        <v>29</v>
      </c>
      <c r="D95" s="8">
        <v>0</v>
      </c>
      <c r="E95" s="3">
        <v>0</v>
      </c>
      <c r="F95" s="3">
        <v>64</v>
      </c>
      <c r="G95" s="6">
        <v>23</v>
      </c>
      <c r="H95" s="10" t="s">
        <v>33</v>
      </c>
      <c r="I95" s="6">
        <v>3</v>
      </c>
      <c r="J95" s="4" t="s">
        <v>33</v>
      </c>
      <c r="K95" s="4" t="s">
        <v>33</v>
      </c>
      <c r="L95" s="4" t="s">
        <v>33</v>
      </c>
      <c r="M95" s="4" t="s">
        <v>33</v>
      </c>
      <c r="N95" s="4" t="s">
        <v>33</v>
      </c>
      <c r="O95" s="4" t="s">
        <v>33</v>
      </c>
      <c r="P95" s="4" t="s">
        <v>33</v>
      </c>
      <c r="Q95" s="4" t="s">
        <v>33</v>
      </c>
      <c r="R95" s="4" t="s">
        <v>33</v>
      </c>
      <c r="S95" s="4" t="s">
        <v>33</v>
      </c>
      <c r="T95" s="4" t="s">
        <v>33</v>
      </c>
      <c r="U95" s="4" t="s">
        <v>33</v>
      </c>
      <c r="V95" s="4" t="s">
        <v>33</v>
      </c>
      <c r="W95" s="4" t="s">
        <v>33</v>
      </c>
      <c r="X95" s="4" t="s">
        <v>33</v>
      </c>
      <c r="Y95" s="4" t="s">
        <v>33</v>
      </c>
      <c r="Z95" s="4" t="s">
        <v>33</v>
      </c>
      <c r="AA95" s="4" t="s">
        <v>33</v>
      </c>
      <c r="AB95" s="4" t="s">
        <v>33</v>
      </c>
      <c r="AC95" s="4" t="s">
        <v>33</v>
      </c>
    </row>
    <row r="96" spans="1:29" ht="15.75" customHeight="1" x14ac:dyDescent="0.2">
      <c r="A96" s="3" t="s">
        <v>17</v>
      </c>
      <c r="B96" s="3" t="s">
        <v>5</v>
      </c>
      <c r="C96" s="3" t="s">
        <v>30</v>
      </c>
      <c r="D96" s="8">
        <v>1</v>
      </c>
      <c r="E96" s="3">
        <v>5</v>
      </c>
      <c r="F96" s="3">
        <v>65</v>
      </c>
      <c r="G96" s="6">
        <v>13</v>
      </c>
      <c r="H96" s="10" t="s">
        <v>33</v>
      </c>
      <c r="I96" s="6">
        <v>0</v>
      </c>
      <c r="J96" s="4" t="s">
        <v>33</v>
      </c>
      <c r="K96" s="4" t="s">
        <v>33</v>
      </c>
      <c r="L96" s="4" t="s">
        <v>33</v>
      </c>
      <c r="M96" s="4" t="s">
        <v>33</v>
      </c>
      <c r="N96" s="4" t="s">
        <v>33</v>
      </c>
      <c r="O96" s="4" t="s">
        <v>33</v>
      </c>
      <c r="P96" s="4" t="s">
        <v>33</v>
      </c>
      <c r="Q96" s="4" t="s">
        <v>33</v>
      </c>
      <c r="R96" s="4" t="s">
        <v>33</v>
      </c>
      <c r="S96" s="4" t="s">
        <v>33</v>
      </c>
      <c r="T96" s="4" t="s">
        <v>33</v>
      </c>
      <c r="U96" s="4" t="s">
        <v>33</v>
      </c>
      <c r="V96" s="4" t="s">
        <v>33</v>
      </c>
      <c r="W96" s="4" t="s">
        <v>33</v>
      </c>
      <c r="X96" s="4" t="s">
        <v>33</v>
      </c>
      <c r="Y96" s="4" t="s">
        <v>33</v>
      </c>
      <c r="Z96" s="4" t="s">
        <v>33</v>
      </c>
      <c r="AA96" s="4" t="s">
        <v>33</v>
      </c>
      <c r="AB96" s="4" t="s">
        <v>33</v>
      </c>
      <c r="AC96" s="4" t="s">
        <v>33</v>
      </c>
    </row>
    <row r="97" spans="1:29" ht="15.75" customHeight="1" x14ac:dyDescent="0.2">
      <c r="A97" s="3" t="s">
        <v>17</v>
      </c>
      <c r="B97" s="3" t="s">
        <v>6</v>
      </c>
      <c r="C97" s="3" t="s">
        <v>29</v>
      </c>
      <c r="D97" s="8">
        <v>0</v>
      </c>
      <c r="E97" s="3">
        <v>0</v>
      </c>
      <c r="F97" s="3">
        <v>66</v>
      </c>
      <c r="G97" s="6">
        <v>16</v>
      </c>
      <c r="H97" s="10">
        <v>8</v>
      </c>
      <c r="I97" s="4" t="s">
        <v>33</v>
      </c>
      <c r="J97" s="4" t="s">
        <v>33</v>
      </c>
      <c r="K97" s="4" t="s">
        <v>33</v>
      </c>
      <c r="L97" s="6">
        <v>1</v>
      </c>
      <c r="M97" s="4" t="s">
        <v>33</v>
      </c>
      <c r="N97" s="4" t="s">
        <v>33</v>
      </c>
      <c r="O97" s="6">
        <v>1</v>
      </c>
      <c r="P97" s="4" t="s">
        <v>33</v>
      </c>
      <c r="Q97" s="4" t="s">
        <v>33</v>
      </c>
      <c r="R97" s="4" t="s">
        <v>33</v>
      </c>
      <c r="S97" s="4" t="s">
        <v>33</v>
      </c>
      <c r="T97" s="4" t="s">
        <v>33</v>
      </c>
      <c r="U97" s="4" t="s">
        <v>33</v>
      </c>
      <c r="V97" s="4" t="s">
        <v>33</v>
      </c>
      <c r="W97" s="4" t="s">
        <v>33</v>
      </c>
      <c r="X97" s="4" t="s">
        <v>33</v>
      </c>
      <c r="Y97" s="4" t="s">
        <v>33</v>
      </c>
      <c r="Z97" s="4" t="s">
        <v>33</v>
      </c>
      <c r="AA97" s="4" t="s">
        <v>33</v>
      </c>
      <c r="AB97" s="4" t="s">
        <v>33</v>
      </c>
      <c r="AC97" s="4" t="s">
        <v>33</v>
      </c>
    </row>
    <row r="98" spans="1:29" ht="15.75" customHeight="1" x14ac:dyDescent="0.2">
      <c r="A98" s="3" t="s">
        <v>17</v>
      </c>
      <c r="B98" s="3" t="s">
        <v>6</v>
      </c>
      <c r="C98" s="3" t="s">
        <v>30</v>
      </c>
      <c r="D98" s="3">
        <v>1</v>
      </c>
      <c r="E98" s="3">
        <v>5</v>
      </c>
      <c r="F98" s="3">
        <v>67</v>
      </c>
      <c r="G98" s="6">
        <v>3</v>
      </c>
      <c r="H98" s="10">
        <v>1</v>
      </c>
      <c r="I98" s="4" t="s">
        <v>33</v>
      </c>
      <c r="J98" s="4" t="s">
        <v>33</v>
      </c>
      <c r="K98" s="4" t="s">
        <v>33</v>
      </c>
      <c r="L98" s="6">
        <v>0</v>
      </c>
      <c r="M98" s="4" t="s">
        <v>33</v>
      </c>
      <c r="N98" s="4" t="s">
        <v>33</v>
      </c>
      <c r="O98" s="6">
        <v>0</v>
      </c>
      <c r="P98" s="4" t="s">
        <v>33</v>
      </c>
      <c r="Q98" s="4" t="s">
        <v>33</v>
      </c>
      <c r="R98" s="4" t="s">
        <v>33</v>
      </c>
      <c r="S98" s="4" t="s">
        <v>33</v>
      </c>
      <c r="T98" s="4" t="s">
        <v>33</v>
      </c>
      <c r="U98" s="4" t="s">
        <v>33</v>
      </c>
      <c r="V98" s="4" t="s">
        <v>33</v>
      </c>
      <c r="W98" s="4" t="s">
        <v>33</v>
      </c>
      <c r="X98" s="4" t="s">
        <v>33</v>
      </c>
      <c r="Y98" s="4" t="s">
        <v>33</v>
      </c>
      <c r="Z98" s="4" t="s">
        <v>33</v>
      </c>
      <c r="AA98" s="4" t="s">
        <v>33</v>
      </c>
      <c r="AB98" s="4" t="s">
        <v>33</v>
      </c>
      <c r="AC98" s="4" t="s">
        <v>33</v>
      </c>
    </row>
    <row r="99" spans="1:29" ht="15.75" customHeight="1" x14ac:dyDescent="0.2">
      <c r="A99" s="3" t="s">
        <v>17</v>
      </c>
      <c r="B99" s="3" t="s">
        <v>7</v>
      </c>
      <c r="C99" s="3" t="s">
        <v>29</v>
      </c>
      <c r="D99" s="8">
        <v>0</v>
      </c>
      <c r="E99" s="3">
        <v>0</v>
      </c>
      <c r="F99" s="3">
        <v>68</v>
      </c>
      <c r="G99" s="6">
        <v>14</v>
      </c>
      <c r="H99" s="10">
        <v>17</v>
      </c>
      <c r="I99" s="4" t="s">
        <v>33</v>
      </c>
      <c r="J99" s="4" t="s">
        <v>33</v>
      </c>
      <c r="K99" s="4" t="s">
        <v>33</v>
      </c>
      <c r="L99" s="4" t="s">
        <v>33</v>
      </c>
      <c r="M99" s="4" t="s">
        <v>33</v>
      </c>
      <c r="N99" s="4" t="s">
        <v>33</v>
      </c>
      <c r="O99" s="4" t="s">
        <v>33</v>
      </c>
      <c r="P99" s="4" t="s">
        <v>33</v>
      </c>
      <c r="Q99" s="4" t="s">
        <v>33</v>
      </c>
      <c r="R99" s="4" t="s">
        <v>33</v>
      </c>
      <c r="S99" s="4" t="s">
        <v>33</v>
      </c>
      <c r="T99" s="4" t="s">
        <v>33</v>
      </c>
      <c r="U99" s="4" t="s">
        <v>33</v>
      </c>
      <c r="V99" s="4" t="s">
        <v>33</v>
      </c>
      <c r="W99" s="4" t="s">
        <v>33</v>
      </c>
      <c r="X99" s="4" t="s">
        <v>33</v>
      </c>
      <c r="Y99" s="4" t="s">
        <v>33</v>
      </c>
      <c r="Z99" s="4" t="s">
        <v>33</v>
      </c>
      <c r="AA99" s="4" t="s">
        <v>33</v>
      </c>
      <c r="AB99" s="4" t="s">
        <v>33</v>
      </c>
      <c r="AC99" s="4" t="s">
        <v>33</v>
      </c>
    </row>
    <row r="100" spans="1:29" ht="15.75" customHeight="1" x14ac:dyDescent="0.2">
      <c r="A100" s="3" t="s">
        <v>17</v>
      </c>
      <c r="B100" s="3" t="s">
        <v>7</v>
      </c>
      <c r="C100" s="3" t="s">
        <v>30</v>
      </c>
      <c r="D100" s="8">
        <v>1</v>
      </c>
      <c r="E100" s="3">
        <v>5</v>
      </c>
      <c r="F100" s="3">
        <v>69</v>
      </c>
      <c r="G100" s="6">
        <v>19</v>
      </c>
      <c r="H100" s="10">
        <v>3</v>
      </c>
      <c r="I100" s="4" t="s">
        <v>33</v>
      </c>
      <c r="J100" s="4" t="s">
        <v>33</v>
      </c>
      <c r="K100" s="4" t="s">
        <v>33</v>
      </c>
      <c r="L100" s="4" t="s">
        <v>33</v>
      </c>
      <c r="M100" s="4" t="s">
        <v>33</v>
      </c>
      <c r="N100" s="4" t="s">
        <v>33</v>
      </c>
      <c r="O100" s="4" t="s">
        <v>33</v>
      </c>
      <c r="P100" s="4" t="s">
        <v>33</v>
      </c>
      <c r="Q100" s="4" t="s">
        <v>33</v>
      </c>
      <c r="R100" s="4" t="s">
        <v>33</v>
      </c>
      <c r="S100" s="4" t="s">
        <v>33</v>
      </c>
      <c r="T100" s="4" t="s">
        <v>33</v>
      </c>
      <c r="U100" s="4" t="s">
        <v>33</v>
      </c>
      <c r="V100" s="4" t="s">
        <v>33</v>
      </c>
      <c r="W100" s="4" t="s">
        <v>33</v>
      </c>
      <c r="X100" s="4" t="s">
        <v>33</v>
      </c>
      <c r="Y100" s="4" t="s">
        <v>33</v>
      </c>
      <c r="Z100" s="4" t="s">
        <v>33</v>
      </c>
      <c r="AA100" s="4" t="s">
        <v>33</v>
      </c>
      <c r="AB100" s="4" t="s">
        <v>33</v>
      </c>
      <c r="AC100" s="4" t="s">
        <v>33</v>
      </c>
    </row>
    <row r="101" spans="1:29" ht="15.75" customHeight="1" x14ac:dyDescent="0.2">
      <c r="A101" s="3" t="s">
        <v>17</v>
      </c>
      <c r="B101" s="3" t="s">
        <v>8</v>
      </c>
      <c r="C101" s="3" t="s">
        <v>29</v>
      </c>
      <c r="D101" s="4" t="s">
        <v>33</v>
      </c>
      <c r="E101" s="3">
        <v>0</v>
      </c>
      <c r="F101" s="3">
        <v>70</v>
      </c>
      <c r="G101" s="6">
        <v>15</v>
      </c>
      <c r="H101" s="10">
        <v>16</v>
      </c>
      <c r="I101" s="6">
        <v>1</v>
      </c>
      <c r="J101" s="6">
        <v>1</v>
      </c>
      <c r="K101" s="6">
        <v>1</v>
      </c>
      <c r="L101" s="4" t="s">
        <v>33</v>
      </c>
      <c r="M101" s="4" t="s">
        <v>33</v>
      </c>
      <c r="N101" s="4" t="s">
        <v>33</v>
      </c>
      <c r="O101" s="4" t="s">
        <v>33</v>
      </c>
      <c r="P101" s="4" t="s">
        <v>33</v>
      </c>
      <c r="Q101" s="4" t="s">
        <v>33</v>
      </c>
      <c r="R101" s="4" t="s">
        <v>33</v>
      </c>
      <c r="S101" s="4" t="s">
        <v>33</v>
      </c>
      <c r="T101" s="4" t="s">
        <v>33</v>
      </c>
      <c r="U101" s="4" t="s">
        <v>33</v>
      </c>
      <c r="V101" s="4" t="s">
        <v>33</v>
      </c>
      <c r="W101" s="4" t="s">
        <v>33</v>
      </c>
      <c r="X101" s="4" t="s">
        <v>33</v>
      </c>
      <c r="Y101" s="4" t="s">
        <v>33</v>
      </c>
      <c r="Z101" s="4" t="s">
        <v>33</v>
      </c>
      <c r="AA101" s="4" t="s">
        <v>33</v>
      </c>
      <c r="AB101" s="4" t="s">
        <v>33</v>
      </c>
      <c r="AC101" s="4" t="s">
        <v>33</v>
      </c>
    </row>
    <row r="102" spans="1:29" ht="15.75" customHeight="1" x14ac:dyDescent="0.2">
      <c r="A102" s="3" t="s">
        <v>17</v>
      </c>
      <c r="B102" s="3" t="s">
        <v>8</v>
      </c>
      <c r="C102" s="3" t="s">
        <v>30</v>
      </c>
      <c r="D102" s="4" t="s">
        <v>33</v>
      </c>
      <c r="E102" s="3">
        <v>1</v>
      </c>
      <c r="F102" s="3">
        <v>71</v>
      </c>
      <c r="G102" s="6">
        <v>18</v>
      </c>
      <c r="H102" s="10">
        <v>6</v>
      </c>
      <c r="I102" s="6">
        <v>0</v>
      </c>
      <c r="J102" s="6">
        <v>0</v>
      </c>
      <c r="K102" s="6">
        <v>0</v>
      </c>
      <c r="L102" s="4" t="s">
        <v>33</v>
      </c>
      <c r="M102" s="4" t="s">
        <v>33</v>
      </c>
      <c r="N102" s="4" t="s">
        <v>33</v>
      </c>
      <c r="O102" s="4" t="s">
        <v>33</v>
      </c>
      <c r="P102" s="4" t="s">
        <v>33</v>
      </c>
      <c r="Q102" s="4" t="s">
        <v>33</v>
      </c>
      <c r="R102" s="4" t="s">
        <v>33</v>
      </c>
      <c r="S102" s="4" t="s">
        <v>33</v>
      </c>
      <c r="T102" s="4" t="s">
        <v>33</v>
      </c>
      <c r="U102" s="4" t="s">
        <v>33</v>
      </c>
      <c r="V102" s="4" t="s">
        <v>33</v>
      </c>
      <c r="W102" s="4" t="s">
        <v>33</v>
      </c>
      <c r="X102" s="4" t="s">
        <v>33</v>
      </c>
      <c r="Y102" s="4" t="s">
        <v>33</v>
      </c>
      <c r="Z102" s="4" t="s">
        <v>33</v>
      </c>
      <c r="AA102" s="4" t="s">
        <v>33</v>
      </c>
      <c r="AB102" s="4" t="s">
        <v>33</v>
      </c>
      <c r="AC102" s="4" t="s">
        <v>33</v>
      </c>
    </row>
    <row r="103" spans="1:29" ht="15.75" customHeight="1" x14ac:dyDescent="0.2">
      <c r="A103" s="3" t="s">
        <v>18</v>
      </c>
      <c r="B103" s="3" t="s">
        <v>4</v>
      </c>
      <c r="C103" s="3" t="s">
        <v>29</v>
      </c>
      <c r="D103" s="4" t="s">
        <v>33</v>
      </c>
      <c r="E103" s="4" t="s">
        <v>33</v>
      </c>
      <c r="F103" s="3">
        <v>72</v>
      </c>
      <c r="G103" s="6">
        <v>1</v>
      </c>
      <c r="H103" s="10">
        <v>2</v>
      </c>
      <c r="I103" s="6">
        <v>8</v>
      </c>
      <c r="J103" s="6">
        <v>17</v>
      </c>
      <c r="K103" s="6">
        <v>18</v>
      </c>
      <c r="L103" s="6">
        <v>3</v>
      </c>
      <c r="M103" s="3">
        <v>2</v>
      </c>
      <c r="N103" s="3">
        <v>1</v>
      </c>
      <c r="O103" s="6">
        <v>1</v>
      </c>
      <c r="P103" s="6">
        <v>2</v>
      </c>
      <c r="Q103" s="4" t="s">
        <v>33</v>
      </c>
      <c r="R103" s="4" t="s">
        <v>33</v>
      </c>
      <c r="S103" s="6">
        <v>0</v>
      </c>
      <c r="T103" s="4" t="s">
        <v>33</v>
      </c>
      <c r="U103" s="4" t="s">
        <v>33</v>
      </c>
      <c r="V103" s="4" t="s">
        <v>33</v>
      </c>
      <c r="W103" s="4" t="s">
        <v>33</v>
      </c>
      <c r="X103" s="4" t="s">
        <v>33</v>
      </c>
      <c r="Y103" s="4" t="s">
        <v>33</v>
      </c>
      <c r="Z103" s="4" t="s">
        <v>33</v>
      </c>
      <c r="AA103" s="4" t="s">
        <v>33</v>
      </c>
      <c r="AB103" s="4" t="s">
        <v>33</v>
      </c>
      <c r="AC103" s="4" t="s">
        <v>33</v>
      </c>
    </row>
    <row r="104" spans="1:29" ht="15.75" customHeight="1" x14ac:dyDescent="0.2">
      <c r="A104" s="3" t="s">
        <v>18</v>
      </c>
      <c r="B104" s="3" t="s">
        <v>4</v>
      </c>
      <c r="C104" s="3" t="s">
        <v>30</v>
      </c>
      <c r="D104" s="4" t="s">
        <v>33</v>
      </c>
      <c r="E104" s="4" t="s">
        <v>33</v>
      </c>
      <c r="F104" s="3">
        <v>73</v>
      </c>
      <c r="G104" s="6">
        <v>1</v>
      </c>
      <c r="H104" s="10">
        <v>2</v>
      </c>
      <c r="I104" s="6">
        <v>14</v>
      </c>
      <c r="J104" s="6">
        <v>21</v>
      </c>
      <c r="K104" s="6">
        <v>12</v>
      </c>
      <c r="L104" s="6">
        <v>1</v>
      </c>
      <c r="M104" s="3">
        <v>1</v>
      </c>
      <c r="N104" s="3">
        <v>2</v>
      </c>
      <c r="O104" s="6">
        <v>3</v>
      </c>
      <c r="P104" s="6">
        <v>0</v>
      </c>
      <c r="Q104" s="4" t="s">
        <v>33</v>
      </c>
      <c r="R104" s="4" t="s">
        <v>33</v>
      </c>
      <c r="S104" s="6">
        <v>1</v>
      </c>
      <c r="T104" s="4" t="s">
        <v>33</v>
      </c>
      <c r="U104" s="4" t="s">
        <v>33</v>
      </c>
      <c r="V104" s="4" t="s">
        <v>33</v>
      </c>
      <c r="W104" s="4" t="s">
        <v>33</v>
      </c>
      <c r="X104" s="4" t="s">
        <v>33</v>
      </c>
      <c r="Y104" s="4" t="s">
        <v>33</v>
      </c>
      <c r="Z104" s="4" t="s">
        <v>33</v>
      </c>
      <c r="AA104" s="4" t="s">
        <v>33</v>
      </c>
      <c r="AB104" s="4" t="s">
        <v>33</v>
      </c>
      <c r="AC104" s="4" t="s">
        <v>33</v>
      </c>
    </row>
    <row r="105" spans="1:29" ht="15.75" customHeight="1" x14ac:dyDescent="0.2">
      <c r="A105" s="3" t="s">
        <v>18</v>
      </c>
      <c r="B105" s="3" t="s">
        <v>5</v>
      </c>
      <c r="C105" s="3" t="s">
        <v>29</v>
      </c>
      <c r="D105" s="4" t="s">
        <v>33</v>
      </c>
      <c r="E105" s="4" t="s">
        <v>33</v>
      </c>
      <c r="F105" s="3">
        <v>74</v>
      </c>
      <c r="G105" s="6">
        <v>1</v>
      </c>
      <c r="H105" s="10">
        <v>1</v>
      </c>
      <c r="I105" s="6">
        <v>5</v>
      </c>
      <c r="J105" s="6">
        <v>13</v>
      </c>
      <c r="K105" s="6">
        <v>13</v>
      </c>
      <c r="L105" s="6">
        <v>4</v>
      </c>
      <c r="M105" s="3">
        <v>0</v>
      </c>
      <c r="N105" s="4" t="s">
        <v>33</v>
      </c>
      <c r="O105" s="6">
        <v>1</v>
      </c>
      <c r="P105" s="4" t="s">
        <v>33</v>
      </c>
      <c r="Q105" s="4" t="s">
        <v>33</v>
      </c>
      <c r="R105" s="6">
        <v>0</v>
      </c>
      <c r="S105" s="4" t="s">
        <v>33</v>
      </c>
      <c r="T105" s="4" t="s">
        <v>33</v>
      </c>
      <c r="U105" s="4" t="s">
        <v>33</v>
      </c>
      <c r="V105" s="4" t="s">
        <v>33</v>
      </c>
      <c r="W105" s="4" t="s">
        <v>33</v>
      </c>
      <c r="X105" s="4" t="s">
        <v>33</v>
      </c>
      <c r="Y105" s="6">
        <v>0</v>
      </c>
      <c r="Z105" s="4" t="s">
        <v>33</v>
      </c>
      <c r="AA105" s="4" t="s">
        <v>33</v>
      </c>
      <c r="AB105" s="4" t="s">
        <v>33</v>
      </c>
      <c r="AC105" s="4" t="s">
        <v>33</v>
      </c>
    </row>
    <row r="106" spans="1:29" ht="15.75" customHeight="1" x14ac:dyDescent="0.2">
      <c r="A106" s="3" t="s">
        <v>18</v>
      </c>
      <c r="B106" s="3" t="s">
        <v>5</v>
      </c>
      <c r="C106" s="3" t="s">
        <v>30</v>
      </c>
      <c r="D106" s="4" t="s">
        <v>33</v>
      </c>
      <c r="E106" s="4" t="s">
        <v>33</v>
      </c>
      <c r="F106" s="3">
        <v>75</v>
      </c>
      <c r="G106" s="6">
        <v>6</v>
      </c>
      <c r="H106" s="10">
        <v>10</v>
      </c>
      <c r="I106" s="6">
        <v>4</v>
      </c>
      <c r="J106" s="6">
        <v>9</v>
      </c>
      <c r="K106" s="6">
        <v>8</v>
      </c>
      <c r="L106" s="6">
        <v>1</v>
      </c>
      <c r="M106" s="3">
        <v>1</v>
      </c>
      <c r="N106" s="4" t="s">
        <v>33</v>
      </c>
      <c r="O106" s="6">
        <v>0</v>
      </c>
      <c r="P106" s="4" t="s">
        <v>33</v>
      </c>
      <c r="Q106" s="4" t="s">
        <v>33</v>
      </c>
      <c r="R106" s="6">
        <v>1</v>
      </c>
      <c r="S106" s="4" t="s">
        <v>33</v>
      </c>
      <c r="T106" s="4" t="s">
        <v>33</v>
      </c>
      <c r="U106" s="4" t="s">
        <v>33</v>
      </c>
      <c r="V106" s="4" t="s">
        <v>33</v>
      </c>
      <c r="W106" s="4" t="s">
        <v>33</v>
      </c>
      <c r="X106" s="4" t="s">
        <v>33</v>
      </c>
      <c r="Y106" s="6">
        <v>1</v>
      </c>
      <c r="Z106" s="4" t="s">
        <v>33</v>
      </c>
      <c r="AA106" s="4" t="s">
        <v>33</v>
      </c>
      <c r="AB106" s="4" t="s">
        <v>33</v>
      </c>
      <c r="AC106" s="4" t="s">
        <v>33</v>
      </c>
    </row>
    <row r="107" spans="1:29" ht="15.75" customHeight="1" x14ac:dyDescent="0.2">
      <c r="A107" s="3" t="s">
        <v>18</v>
      </c>
      <c r="B107" s="3" t="s">
        <v>6</v>
      </c>
      <c r="C107" s="3" t="s">
        <v>29</v>
      </c>
      <c r="D107" s="4" t="s">
        <v>33</v>
      </c>
      <c r="E107" s="4" t="s">
        <v>33</v>
      </c>
      <c r="F107" s="3">
        <v>76</v>
      </c>
      <c r="G107" s="6">
        <v>1</v>
      </c>
      <c r="H107" s="10">
        <v>6</v>
      </c>
      <c r="I107" s="6">
        <v>14</v>
      </c>
      <c r="J107" s="6">
        <v>9</v>
      </c>
      <c r="K107" s="6">
        <v>6</v>
      </c>
      <c r="L107" s="6">
        <v>0</v>
      </c>
      <c r="M107" s="3">
        <v>1</v>
      </c>
      <c r="N107" s="4" t="s">
        <v>33</v>
      </c>
      <c r="O107" s="4" t="s">
        <v>33</v>
      </c>
      <c r="P107" s="4" t="s">
        <v>33</v>
      </c>
      <c r="Q107" s="4" t="s">
        <v>33</v>
      </c>
      <c r="R107" s="4" t="s">
        <v>33</v>
      </c>
      <c r="S107" s="4" t="s">
        <v>33</v>
      </c>
      <c r="T107" s="4" t="s">
        <v>33</v>
      </c>
      <c r="U107" s="4" t="s">
        <v>33</v>
      </c>
      <c r="V107" s="4" t="s">
        <v>33</v>
      </c>
      <c r="W107" s="4" t="s">
        <v>33</v>
      </c>
      <c r="X107" s="4" t="s">
        <v>33</v>
      </c>
      <c r="Y107" s="4" t="s">
        <v>33</v>
      </c>
      <c r="Z107" s="4" t="s">
        <v>33</v>
      </c>
      <c r="AA107" s="4" t="s">
        <v>33</v>
      </c>
      <c r="AB107" s="4" t="s">
        <v>33</v>
      </c>
      <c r="AC107" s="4" t="s">
        <v>33</v>
      </c>
    </row>
    <row r="108" spans="1:29" ht="15.75" customHeight="1" x14ac:dyDescent="0.2">
      <c r="A108" s="3" t="s">
        <v>18</v>
      </c>
      <c r="B108" s="3" t="s">
        <v>6</v>
      </c>
      <c r="C108" s="3" t="s">
        <v>30</v>
      </c>
      <c r="D108" s="4" t="s">
        <v>33</v>
      </c>
      <c r="E108" s="4" t="s">
        <v>33</v>
      </c>
      <c r="F108" s="3">
        <v>77</v>
      </c>
      <c r="G108" s="6">
        <v>12</v>
      </c>
      <c r="H108" s="10">
        <v>9</v>
      </c>
      <c r="I108" s="6">
        <v>19</v>
      </c>
      <c r="J108" s="6">
        <v>3</v>
      </c>
      <c r="K108" s="6">
        <v>3</v>
      </c>
      <c r="L108" s="6">
        <v>2</v>
      </c>
      <c r="M108" s="3">
        <v>2</v>
      </c>
      <c r="N108" s="4" t="s">
        <v>33</v>
      </c>
      <c r="O108" s="4" t="s">
        <v>33</v>
      </c>
      <c r="P108" s="4" t="s">
        <v>33</v>
      </c>
      <c r="Q108" s="4" t="s">
        <v>33</v>
      </c>
      <c r="R108" s="4" t="s">
        <v>33</v>
      </c>
      <c r="S108" s="4" t="s">
        <v>33</v>
      </c>
      <c r="T108" s="4" t="s">
        <v>33</v>
      </c>
      <c r="U108" s="4" t="s">
        <v>33</v>
      </c>
      <c r="V108" s="4" t="s">
        <v>33</v>
      </c>
      <c r="W108" s="4" t="s">
        <v>33</v>
      </c>
      <c r="X108" s="4" t="s">
        <v>33</v>
      </c>
      <c r="Y108" s="4" t="s">
        <v>33</v>
      </c>
      <c r="Z108" s="4" t="s">
        <v>33</v>
      </c>
      <c r="AA108" s="4" t="s">
        <v>33</v>
      </c>
      <c r="AB108" s="4" t="s">
        <v>33</v>
      </c>
      <c r="AC108" s="4" t="s">
        <v>33</v>
      </c>
    </row>
    <row r="109" spans="1:29" ht="15.75" customHeight="1" x14ac:dyDescent="0.2">
      <c r="A109" s="3" t="s">
        <v>18</v>
      </c>
      <c r="B109" s="3" t="s">
        <v>7</v>
      </c>
      <c r="C109" s="3" t="s">
        <v>29</v>
      </c>
      <c r="D109" s="4" t="s">
        <v>33</v>
      </c>
      <c r="E109" s="4" t="s">
        <v>33</v>
      </c>
      <c r="F109" s="3">
        <v>78</v>
      </c>
      <c r="G109" s="6">
        <v>0</v>
      </c>
      <c r="H109" s="10">
        <v>5</v>
      </c>
      <c r="I109" s="6">
        <v>12</v>
      </c>
      <c r="J109" s="6">
        <v>6</v>
      </c>
      <c r="K109" s="6">
        <v>6</v>
      </c>
      <c r="L109" s="6">
        <v>3</v>
      </c>
      <c r="M109" s="3">
        <v>1</v>
      </c>
      <c r="N109" s="4" t="s">
        <v>33</v>
      </c>
      <c r="O109" s="6">
        <v>1</v>
      </c>
      <c r="P109" s="4" t="s">
        <v>33</v>
      </c>
      <c r="Q109" s="4" t="s">
        <v>33</v>
      </c>
      <c r="R109" s="6">
        <v>0</v>
      </c>
      <c r="S109" s="4" t="s">
        <v>33</v>
      </c>
      <c r="T109" s="4" t="s">
        <v>33</v>
      </c>
      <c r="U109" s="4" t="s">
        <v>33</v>
      </c>
      <c r="V109" s="4" t="s">
        <v>33</v>
      </c>
      <c r="W109" s="4" t="s">
        <v>33</v>
      </c>
      <c r="X109" s="4" t="s">
        <v>33</v>
      </c>
      <c r="Y109" s="4" t="s">
        <v>33</v>
      </c>
      <c r="Z109" s="4" t="s">
        <v>33</v>
      </c>
      <c r="AA109" s="6">
        <v>0</v>
      </c>
      <c r="AB109" s="4" t="s">
        <v>33</v>
      </c>
      <c r="AC109" s="4" t="s">
        <v>33</v>
      </c>
    </row>
    <row r="110" spans="1:29" ht="15.75" customHeight="1" x14ac:dyDescent="0.2">
      <c r="A110" s="3" t="s">
        <v>18</v>
      </c>
      <c r="B110" s="3" t="s">
        <v>7</v>
      </c>
      <c r="C110" s="3" t="s">
        <v>30</v>
      </c>
      <c r="D110" s="4" t="s">
        <v>33</v>
      </c>
      <c r="E110" s="4" t="s">
        <v>33</v>
      </c>
      <c r="F110" s="3">
        <v>79</v>
      </c>
      <c r="G110" s="6">
        <v>12</v>
      </c>
      <c r="H110" s="10">
        <v>11</v>
      </c>
      <c r="I110" s="6">
        <v>19</v>
      </c>
      <c r="J110" s="6">
        <v>7</v>
      </c>
      <c r="K110" s="6">
        <v>3</v>
      </c>
      <c r="L110" s="6">
        <v>0</v>
      </c>
      <c r="M110" s="3">
        <v>0</v>
      </c>
      <c r="N110" s="4" t="s">
        <v>33</v>
      </c>
      <c r="O110" s="6">
        <v>0</v>
      </c>
      <c r="P110" s="4" t="s">
        <v>33</v>
      </c>
      <c r="Q110" s="4" t="s">
        <v>33</v>
      </c>
      <c r="R110" s="6">
        <v>1</v>
      </c>
      <c r="S110" s="4" t="s">
        <v>33</v>
      </c>
      <c r="T110" s="4" t="s">
        <v>33</v>
      </c>
      <c r="U110" s="4" t="s">
        <v>33</v>
      </c>
      <c r="V110" s="4" t="s">
        <v>33</v>
      </c>
      <c r="W110" s="4" t="s">
        <v>33</v>
      </c>
      <c r="X110" s="4" t="s">
        <v>33</v>
      </c>
      <c r="Y110" s="4" t="s">
        <v>33</v>
      </c>
      <c r="Z110" s="4" t="s">
        <v>33</v>
      </c>
      <c r="AA110" s="6">
        <v>1</v>
      </c>
      <c r="AB110" s="4" t="s">
        <v>33</v>
      </c>
      <c r="AC110" s="4" t="s">
        <v>33</v>
      </c>
    </row>
    <row r="111" spans="1:29" ht="15.75" customHeight="1" x14ac:dyDescent="0.2">
      <c r="A111" s="3" t="s">
        <v>18</v>
      </c>
      <c r="B111" s="3" t="s">
        <v>8</v>
      </c>
      <c r="C111" s="3" t="s">
        <v>29</v>
      </c>
      <c r="D111" s="4" t="s">
        <v>33</v>
      </c>
      <c r="E111" s="4" t="s">
        <v>33</v>
      </c>
      <c r="F111" s="3">
        <v>80</v>
      </c>
      <c r="G111" s="6">
        <v>2</v>
      </c>
      <c r="H111" s="10">
        <v>4</v>
      </c>
      <c r="I111" s="6">
        <v>19</v>
      </c>
      <c r="J111" s="6">
        <v>16</v>
      </c>
      <c r="K111" s="6">
        <v>20</v>
      </c>
      <c r="L111" s="6">
        <v>8</v>
      </c>
      <c r="M111" s="3">
        <v>4</v>
      </c>
      <c r="N111" s="3">
        <v>0</v>
      </c>
      <c r="O111" s="6">
        <v>0</v>
      </c>
      <c r="P111" s="6">
        <v>3</v>
      </c>
      <c r="Q111" s="4" t="s">
        <v>33</v>
      </c>
      <c r="R111" s="6">
        <v>0</v>
      </c>
      <c r="S111" s="4" t="s">
        <v>33</v>
      </c>
      <c r="T111" s="4" t="s">
        <v>33</v>
      </c>
      <c r="U111" s="4" t="s">
        <v>33</v>
      </c>
      <c r="V111" s="6">
        <v>1</v>
      </c>
      <c r="W111" s="4" t="s">
        <v>33</v>
      </c>
      <c r="X111" s="4" t="s">
        <v>33</v>
      </c>
      <c r="Y111" s="4" t="s">
        <v>33</v>
      </c>
      <c r="Z111" s="4" t="s">
        <v>33</v>
      </c>
      <c r="AA111" s="4" t="s">
        <v>33</v>
      </c>
      <c r="AB111" s="4" t="s">
        <v>33</v>
      </c>
      <c r="AC111" s="4" t="s">
        <v>33</v>
      </c>
    </row>
    <row r="112" spans="1:29" ht="15.75" customHeight="1" x14ac:dyDescent="0.2">
      <c r="A112" s="3" t="s">
        <v>18</v>
      </c>
      <c r="B112" s="3" t="s">
        <v>8</v>
      </c>
      <c r="C112" s="3" t="s">
        <v>30</v>
      </c>
      <c r="D112" s="4" t="s">
        <v>33</v>
      </c>
      <c r="E112" s="4" t="s">
        <v>33</v>
      </c>
      <c r="F112" s="3">
        <v>81</v>
      </c>
      <c r="G112" s="6">
        <v>4</v>
      </c>
      <c r="H112" s="10">
        <v>9</v>
      </c>
      <c r="I112" s="6">
        <v>10</v>
      </c>
      <c r="J112" s="6">
        <v>10</v>
      </c>
      <c r="K112" s="6">
        <v>5</v>
      </c>
      <c r="L112" s="6">
        <v>4</v>
      </c>
      <c r="M112" s="3">
        <v>1</v>
      </c>
      <c r="N112" s="3">
        <v>2</v>
      </c>
      <c r="O112" s="6">
        <v>2</v>
      </c>
      <c r="P112" s="6">
        <v>1</v>
      </c>
      <c r="Q112" s="4" t="s">
        <v>33</v>
      </c>
      <c r="R112" s="6">
        <v>1</v>
      </c>
      <c r="S112" s="4" t="s">
        <v>33</v>
      </c>
      <c r="T112" s="4" t="s">
        <v>33</v>
      </c>
      <c r="U112" s="4" t="s">
        <v>33</v>
      </c>
      <c r="V112" s="6">
        <v>0</v>
      </c>
      <c r="W112" s="4" t="s">
        <v>33</v>
      </c>
      <c r="X112" s="4" t="s">
        <v>33</v>
      </c>
      <c r="Y112" s="4" t="s">
        <v>33</v>
      </c>
      <c r="Z112" s="4" t="s">
        <v>33</v>
      </c>
      <c r="AA112" s="4" t="s">
        <v>33</v>
      </c>
      <c r="AB112" s="4" t="s">
        <v>33</v>
      </c>
      <c r="AC112" s="4" t="s">
        <v>33</v>
      </c>
    </row>
    <row r="113" spans="1:29" ht="15.75" customHeight="1" x14ac:dyDescent="0.2">
      <c r="A113" s="3" t="s">
        <v>19</v>
      </c>
      <c r="B113" s="3" t="s">
        <v>4</v>
      </c>
      <c r="C113" s="3" t="s">
        <v>29</v>
      </c>
      <c r="D113" s="4" t="s">
        <v>33</v>
      </c>
      <c r="E113" s="4" t="s">
        <v>33</v>
      </c>
      <c r="F113" s="3">
        <v>82</v>
      </c>
      <c r="G113" s="6" t="s">
        <v>33</v>
      </c>
      <c r="H113" s="10">
        <v>1</v>
      </c>
      <c r="I113" s="6">
        <v>6</v>
      </c>
      <c r="J113" s="6">
        <v>8</v>
      </c>
      <c r="K113" s="6">
        <v>12</v>
      </c>
      <c r="L113" s="6">
        <v>8</v>
      </c>
      <c r="M113" s="3">
        <v>8</v>
      </c>
      <c r="N113" s="3">
        <v>2</v>
      </c>
      <c r="O113" s="6">
        <v>2</v>
      </c>
      <c r="P113" s="6">
        <v>1</v>
      </c>
      <c r="Q113" s="4" t="s">
        <v>33</v>
      </c>
      <c r="R113" s="6">
        <v>0</v>
      </c>
      <c r="S113" s="6">
        <v>1</v>
      </c>
      <c r="T113" s="4" t="s">
        <v>33</v>
      </c>
      <c r="U113" s="4" t="s">
        <v>33</v>
      </c>
      <c r="V113" s="4" t="s">
        <v>33</v>
      </c>
      <c r="W113" s="4" t="s">
        <v>33</v>
      </c>
      <c r="X113" s="6">
        <v>1</v>
      </c>
      <c r="Y113" s="4" t="s">
        <v>33</v>
      </c>
      <c r="Z113" s="4" t="s">
        <v>33</v>
      </c>
      <c r="AA113" s="4" t="s">
        <v>33</v>
      </c>
      <c r="AB113" s="4" t="s">
        <v>33</v>
      </c>
      <c r="AC113" s="4" t="s">
        <v>33</v>
      </c>
    </row>
    <row r="114" spans="1:29" ht="15.75" customHeight="1" x14ac:dyDescent="0.2">
      <c r="A114" s="3" t="s">
        <v>19</v>
      </c>
      <c r="B114" s="3" t="s">
        <v>4</v>
      </c>
      <c r="C114" s="3" t="s">
        <v>30</v>
      </c>
      <c r="D114" s="4" t="s">
        <v>33</v>
      </c>
      <c r="E114" s="4" t="s">
        <v>33</v>
      </c>
      <c r="F114" s="3">
        <v>83</v>
      </c>
      <c r="G114" s="6" t="s">
        <v>33</v>
      </c>
      <c r="H114" s="10">
        <v>5</v>
      </c>
      <c r="I114" s="6">
        <v>10</v>
      </c>
      <c r="J114" s="6">
        <v>13</v>
      </c>
      <c r="K114" s="6">
        <v>20</v>
      </c>
      <c r="L114" s="6">
        <v>8</v>
      </c>
      <c r="M114" s="3">
        <v>12</v>
      </c>
      <c r="N114" s="3">
        <v>4</v>
      </c>
      <c r="O114" s="6">
        <v>3</v>
      </c>
      <c r="P114" s="6">
        <v>4</v>
      </c>
      <c r="Q114" s="4" t="s">
        <v>33</v>
      </c>
      <c r="R114" s="6">
        <v>1</v>
      </c>
      <c r="S114" s="6">
        <v>0</v>
      </c>
      <c r="T114" s="4" t="s">
        <v>33</v>
      </c>
      <c r="U114" s="4" t="s">
        <v>33</v>
      </c>
      <c r="V114" s="4" t="s">
        <v>33</v>
      </c>
      <c r="W114" s="4" t="s">
        <v>33</v>
      </c>
      <c r="X114" s="6">
        <v>1</v>
      </c>
      <c r="Y114" s="4" t="s">
        <v>33</v>
      </c>
      <c r="Z114" s="4" t="s">
        <v>33</v>
      </c>
      <c r="AA114" s="4" t="s">
        <v>33</v>
      </c>
      <c r="AB114" s="4" t="s">
        <v>33</v>
      </c>
      <c r="AC114" s="4" t="s">
        <v>33</v>
      </c>
    </row>
    <row r="115" spans="1:29" ht="15.75" customHeight="1" x14ac:dyDescent="0.2">
      <c r="A115" s="3" t="s">
        <v>19</v>
      </c>
      <c r="B115" s="3" t="s">
        <v>5</v>
      </c>
      <c r="C115" s="3" t="s">
        <v>29</v>
      </c>
      <c r="D115" s="4" t="s">
        <v>33</v>
      </c>
      <c r="E115" s="4" t="s">
        <v>33</v>
      </c>
      <c r="F115" s="3">
        <v>84</v>
      </c>
      <c r="G115" s="6">
        <v>0</v>
      </c>
      <c r="H115" s="10">
        <v>1</v>
      </c>
      <c r="I115" s="6">
        <v>8</v>
      </c>
      <c r="J115" s="6">
        <v>5</v>
      </c>
      <c r="K115" s="6">
        <v>17</v>
      </c>
      <c r="L115" s="6">
        <v>9</v>
      </c>
      <c r="M115" s="3">
        <v>14</v>
      </c>
      <c r="N115" s="3">
        <v>5</v>
      </c>
      <c r="O115" s="6">
        <v>5</v>
      </c>
      <c r="P115" s="6">
        <v>1</v>
      </c>
      <c r="Q115" s="4" t="s">
        <v>33</v>
      </c>
      <c r="R115" s="6">
        <v>1</v>
      </c>
      <c r="S115" s="6">
        <v>0</v>
      </c>
      <c r="T115" s="4" t="s">
        <v>33</v>
      </c>
      <c r="U115" s="4" t="s">
        <v>33</v>
      </c>
      <c r="V115" s="4" t="s">
        <v>33</v>
      </c>
      <c r="W115" s="4" t="s">
        <v>33</v>
      </c>
      <c r="X115" s="4" t="s">
        <v>33</v>
      </c>
      <c r="Y115" s="4" t="s">
        <v>33</v>
      </c>
      <c r="Z115" s="4" t="s">
        <v>33</v>
      </c>
      <c r="AA115" s="4" t="s">
        <v>33</v>
      </c>
      <c r="AB115" s="4" t="s">
        <v>33</v>
      </c>
      <c r="AC115" s="4" t="s">
        <v>33</v>
      </c>
    </row>
    <row r="116" spans="1:29" ht="15.75" customHeight="1" x14ac:dyDescent="0.2">
      <c r="A116" s="3" t="s">
        <v>19</v>
      </c>
      <c r="B116" s="3" t="s">
        <v>5</v>
      </c>
      <c r="C116" s="3" t="s">
        <v>30</v>
      </c>
      <c r="D116" s="4" t="s">
        <v>33</v>
      </c>
      <c r="E116" s="4" t="s">
        <v>33</v>
      </c>
      <c r="F116" s="3">
        <v>85</v>
      </c>
      <c r="G116" s="6">
        <v>3</v>
      </c>
      <c r="H116" s="10">
        <v>5</v>
      </c>
      <c r="I116" s="6">
        <v>12</v>
      </c>
      <c r="J116" s="6">
        <v>6</v>
      </c>
      <c r="K116" s="6">
        <v>16</v>
      </c>
      <c r="L116" s="6">
        <v>8</v>
      </c>
      <c r="M116" s="3">
        <v>9</v>
      </c>
      <c r="N116" s="3">
        <v>1</v>
      </c>
      <c r="O116" s="6">
        <v>1</v>
      </c>
      <c r="P116" s="6">
        <v>1</v>
      </c>
      <c r="Q116" s="4" t="s">
        <v>33</v>
      </c>
      <c r="R116" s="6">
        <v>0</v>
      </c>
      <c r="S116" s="6">
        <v>1</v>
      </c>
      <c r="T116" s="4" t="s">
        <v>33</v>
      </c>
      <c r="U116" s="4" t="s">
        <v>33</v>
      </c>
      <c r="V116" s="4" t="s">
        <v>33</v>
      </c>
      <c r="W116" s="4" t="s">
        <v>33</v>
      </c>
      <c r="X116" s="4" t="s">
        <v>33</v>
      </c>
      <c r="Y116" s="4" t="s">
        <v>33</v>
      </c>
      <c r="Z116" s="4" t="s">
        <v>33</v>
      </c>
      <c r="AA116" s="4" t="s">
        <v>33</v>
      </c>
      <c r="AB116" s="4" t="s">
        <v>33</v>
      </c>
      <c r="AC116" s="4" t="s">
        <v>33</v>
      </c>
    </row>
    <row r="117" spans="1:29" ht="15.75" customHeight="1" x14ac:dyDescent="0.2">
      <c r="A117" s="3" t="s">
        <v>19</v>
      </c>
      <c r="B117" s="3" t="s">
        <v>6</v>
      </c>
      <c r="C117" s="3" t="s">
        <v>29</v>
      </c>
      <c r="D117" s="4" t="s">
        <v>33</v>
      </c>
      <c r="E117" s="4" t="s">
        <v>33</v>
      </c>
      <c r="F117" s="3">
        <v>86</v>
      </c>
      <c r="G117" s="6">
        <v>0</v>
      </c>
      <c r="H117" s="10">
        <v>2</v>
      </c>
      <c r="I117" s="6">
        <v>11</v>
      </c>
      <c r="J117" s="6">
        <v>13</v>
      </c>
      <c r="K117" s="6">
        <v>14</v>
      </c>
      <c r="L117" s="6">
        <v>11</v>
      </c>
      <c r="M117" s="3">
        <v>10</v>
      </c>
      <c r="N117" s="3">
        <v>3</v>
      </c>
      <c r="O117" s="6">
        <v>3</v>
      </c>
      <c r="P117" s="4" t="s">
        <v>33</v>
      </c>
      <c r="Q117" s="4" t="s">
        <v>33</v>
      </c>
      <c r="R117" s="4" t="s">
        <v>33</v>
      </c>
      <c r="S117" s="4" t="s">
        <v>33</v>
      </c>
      <c r="T117" s="4" t="s">
        <v>33</v>
      </c>
      <c r="U117" s="4" t="s">
        <v>33</v>
      </c>
      <c r="V117" s="4" t="s">
        <v>33</v>
      </c>
      <c r="W117" s="4" t="s">
        <v>33</v>
      </c>
      <c r="X117" s="4" t="s">
        <v>33</v>
      </c>
      <c r="Y117" s="4" t="s">
        <v>33</v>
      </c>
      <c r="Z117" s="4" t="s">
        <v>33</v>
      </c>
      <c r="AA117" s="4" t="s">
        <v>33</v>
      </c>
      <c r="AB117" s="4" t="s">
        <v>33</v>
      </c>
      <c r="AC117" s="4" t="s">
        <v>33</v>
      </c>
    </row>
    <row r="118" spans="1:29" ht="15.75" customHeight="1" x14ac:dyDescent="0.2">
      <c r="A118" s="3" t="s">
        <v>19</v>
      </c>
      <c r="B118" s="3" t="s">
        <v>6</v>
      </c>
      <c r="C118" s="3" t="s">
        <v>30</v>
      </c>
      <c r="D118" s="4" t="s">
        <v>33</v>
      </c>
      <c r="E118" s="4" t="s">
        <v>33</v>
      </c>
      <c r="F118" s="3">
        <v>87</v>
      </c>
      <c r="G118" s="6">
        <v>1</v>
      </c>
      <c r="H118" s="10">
        <v>9</v>
      </c>
      <c r="I118" s="6">
        <v>12</v>
      </c>
      <c r="J118" s="6">
        <v>13</v>
      </c>
      <c r="K118" s="6">
        <v>17</v>
      </c>
      <c r="L118" s="6">
        <v>7</v>
      </c>
      <c r="M118" s="3">
        <v>2</v>
      </c>
      <c r="N118" s="3">
        <v>0</v>
      </c>
      <c r="O118" s="6">
        <v>1</v>
      </c>
      <c r="P118" s="4" t="s">
        <v>33</v>
      </c>
      <c r="Q118" s="4" t="s">
        <v>33</v>
      </c>
      <c r="R118" s="4" t="s">
        <v>33</v>
      </c>
      <c r="S118" s="4" t="s">
        <v>33</v>
      </c>
      <c r="T118" s="4" t="s">
        <v>33</v>
      </c>
      <c r="U118" s="4" t="s">
        <v>33</v>
      </c>
      <c r="V118" s="4" t="s">
        <v>33</v>
      </c>
      <c r="W118" s="4" t="s">
        <v>33</v>
      </c>
      <c r="X118" s="4" t="s">
        <v>33</v>
      </c>
      <c r="Y118" s="4" t="s">
        <v>33</v>
      </c>
      <c r="Z118" s="4" t="s">
        <v>33</v>
      </c>
      <c r="AA118" s="4" t="s">
        <v>33</v>
      </c>
      <c r="AB118" s="4" t="s">
        <v>33</v>
      </c>
      <c r="AC118" s="4" t="s">
        <v>33</v>
      </c>
    </row>
    <row r="119" spans="1:29" ht="15.75" customHeight="1" x14ac:dyDescent="0.2">
      <c r="A119" s="3" t="s">
        <v>19</v>
      </c>
      <c r="B119" s="3" t="s">
        <v>7</v>
      </c>
      <c r="C119" s="3" t="s">
        <v>29</v>
      </c>
      <c r="D119" s="4" t="s">
        <v>33</v>
      </c>
      <c r="E119" s="4" t="s">
        <v>33</v>
      </c>
      <c r="F119" s="3">
        <v>88</v>
      </c>
      <c r="G119" s="6">
        <v>1</v>
      </c>
      <c r="H119" s="10">
        <v>8</v>
      </c>
      <c r="I119" s="6">
        <v>8</v>
      </c>
      <c r="J119" s="6">
        <v>10</v>
      </c>
      <c r="K119" s="6">
        <v>16</v>
      </c>
      <c r="L119" s="6">
        <v>13</v>
      </c>
      <c r="M119" s="3">
        <v>2</v>
      </c>
      <c r="N119" s="3">
        <v>3</v>
      </c>
      <c r="O119" s="6">
        <v>2</v>
      </c>
      <c r="P119" s="4" t="s">
        <v>33</v>
      </c>
      <c r="Q119" s="3">
        <v>1</v>
      </c>
      <c r="R119" s="4" t="s">
        <v>33</v>
      </c>
      <c r="S119" s="4" t="s">
        <v>33</v>
      </c>
      <c r="T119" s="4" t="s">
        <v>33</v>
      </c>
      <c r="U119" s="6">
        <v>1</v>
      </c>
      <c r="V119" s="4" t="s">
        <v>33</v>
      </c>
      <c r="W119" s="4" t="s">
        <v>33</v>
      </c>
      <c r="X119" s="4" t="s">
        <v>33</v>
      </c>
      <c r="Y119" s="4" t="s">
        <v>33</v>
      </c>
      <c r="Z119" s="4" t="s">
        <v>33</v>
      </c>
      <c r="AA119" s="4" t="s">
        <v>33</v>
      </c>
      <c r="AB119" s="4" t="s">
        <v>33</v>
      </c>
      <c r="AC119" s="4" t="s">
        <v>33</v>
      </c>
    </row>
    <row r="120" spans="1:29" ht="15.75" customHeight="1" x14ac:dyDescent="0.2">
      <c r="A120" s="3" t="s">
        <v>19</v>
      </c>
      <c r="B120" s="3" t="s">
        <v>7</v>
      </c>
      <c r="C120" s="3" t="s">
        <v>30</v>
      </c>
      <c r="D120" s="4" t="s">
        <v>33</v>
      </c>
      <c r="E120" s="4" t="s">
        <v>33</v>
      </c>
      <c r="F120" s="3">
        <v>89</v>
      </c>
      <c r="G120" s="6">
        <v>1</v>
      </c>
      <c r="H120" s="10">
        <v>9</v>
      </c>
      <c r="I120" s="6">
        <v>12</v>
      </c>
      <c r="J120" s="6">
        <v>15</v>
      </c>
      <c r="K120" s="6">
        <v>20</v>
      </c>
      <c r="L120" s="6">
        <v>8</v>
      </c>
      <c r="M120" s="3">
        <v>3</v>
      </c>
      <c r="N120" s="3">
        <v>1</v>
      </c>
      <c r="O120" s="6">
        <v>0</v>
      </c>
      <c r="P120" s="4" t="s">
        <v>33</v>
      </c>
      <c r="Q120" s="3">
        <v>0</v>
      </c>
      <c r="R120" s="4" t="s">
        <v>33</v>
      </c>
      <c r="S120" s="4" t="s">
        <v>33</v>
      </c>
      <c r="T120" s="4" t="s">
        <v>33</v>
      </c>
      <c r="U120" s="6">
        <v>0</v>
      </c>
      <c r="V120" s="4" t="s">
        <v>33</v>
      </c>
      <c r="W120" s="4" t="s">
        <v>33</v>
      </c>
      <c r="X120" s="4" t="s">
        <v>33</v>
      </c>
      <c r="Y120" s="4" t="s">
        <v>33</v>
      </c>
      <c r="Z120" s="4" t="s">
        <v>33</v>
      </c>
      <c r="AA120" s="4" t="s">
        <v>33</v>
      </c>
      <c r="AB120" s="4" t="s">
        <v>33</v>
      </c>
      <c r="AC120" s="4" t="s">
        <v>33</v>
      </c>
    </row>
    <row r="121" spans="1:29" ht="15.75" customHeight="1" x14ac:dyDescent="0.2">
      <c r="A121" s="3" t="s">
        <v>19</v>
      </c>
      <c r="B121" s="3" t="s">
        <v>8</v>
      </c>
      <c r="C121" s="3" t="s">
        <v>29</v>
      </c>
      <c r="D121" s="4" t="s">
        <v>33</v>
      </c>
      <c r="E121" s="4" t="s">
        <v>33</v>
      </c>
      <c r="F121" s="3">
        <v>90</v>
      </c>
      <c r="G121" s="6">
        <v>1</v>
      </c>
      <c r="H121" s="10">
        <v>3</v>
      </c>
      <c r="I121" s="6">
        <v>8</v>
      </c>
      <c r="J121" s="6">
        <v>10</v>
      </c>
      <c r="K121" s="6">
        <v>25</v>
      </c>
      <c r="L121" s="6">
        <v>6</v>
      </c>
      <c r="M121" s="3">
        <v>5</v>
      </c>
      <c r="N121" s="3">
        <v>8</v>
      </c>
      <c r="O121" s="6">
        <v>2</v>
      </c>
      <c r="P121" s="6">
        <v>2</v>
      </c>
      <c r="Q121" s="4" t="s">
        <v>33</v>
      </c>
      <c r="R121" s="4" t="s">
        <v>33</v>
      </c>
      <c r="S121" s="4" t="s">
        <v>33</v>
      </c>
      <c r="T121" s="4" t="s">
        <v>33</v>
      </c>
      <c r="U121" s="4" t="s">
        <v>33</v>
      </c>
      <c r="V121" s="4" t="s">
        <v>33</v>
      </c>
      <c r="W121" s="4" t="s">
        <v>33</v>
      </c>
      <c r="X121" s="4" t="s">
        <v>33</v>
      </c>
      <c r="Y121" s="4" t="s">
        <v>33</v>
      </c>
      <c r="Z121" s="4" t="s">
        <v>33</v>
      </c>
      <c r="AA121" s="4" t="s">
        <v>33</v>
      </c>
      <c r="AB121" s="4" t="s">
        <v>33</v>
      </c>
      <c r="AC121" s="4" t="s">
        <v>33</v>
      </c>
    </row>
    <row r="122" spans="1:29" ht="15.75" customHeight="1" x14ac:dyDescent="0.2">
      <c r="A122" s="3" t="s">
        <v>19</v>
      </c>
      <c r="B122" s="3" t="s">
        <v>8</v>
      </c>
      <c r="C122" s="3" t="s">
        <v>30</v>
      </c>
      <c r="D122" s="4" t="s">
        <v>33</v>
      </c>
      <c r="E122" s="4" t="s">
        <v>33</v>
      </c>
      <c r="F122" s="3">
        <v>91</v>
      </c>
      <c r="G122" s="6">
        <v>1</v>
      </c>
      <c r="H122" s="10">
        <v>9</v>
      </c>
      <c r="I122" s="6">
        <v>12</v>
      </c>
      <c r="J122" s="6">
        <v>12</v>
      </c>
      <c r="K122" s="6">
        <v>18</v>
      </c>
      <c r="L122" s="6">
        <v>9</v>
      </c>
      <c r="M122" s="3">
        <v>2</v>
      </c>
      <c r="N122" s="3">
        <v>1</v>
      </c>
      <c r="O122" s="6">
        <v>0</v>
      </c>
      <c r="P122" s="6">
        <v>0</v>
      </c>
      <c r="Q122" s="4" t="s">
        <v>33</v>
      </c>
      <c r="R122" s="4" t="s">
        <v>33</v>
      </c>
      <c r="S122" s="4" t="s">
        <v>33</v>
      </c>
      <c r="T122" s="4" t="s">
        <v>33</v>
      </c>
      <c r="U122" s="4" t="s">
        <v>33</v>
      </c>
      <c r="V122" s="4" t="s">
        <v>33</v>
      </c>
      <c r="W122" s="4" t="s">
        <v>33</v>
      </c>
      <c r="X122" s="4" t="s">
        <v>33</v>
      </c>
      <c r="Y122" s="4" t="s">
        <v>33</v>
      </c>
      <c r="Z122" s="4" t="s">
        <v>33</v>
      </c>
      <c r="AA122" s="4" t="s">
        <v>33</v>
      </c>
      <c r="AB122" s="4" t="s">
        <v>33</v>
      </c>
      <c r="AC122" s="4" t="s">
        <v>33</v>
      </c>
    </row>
    <row r="123" spans="1:29" ht="15" customHeight="1" x14ac:dyDescent="0.2">
      <c r="A123" s="3" t="s">
        <v>20</v>
      </c>
      <c r="B123" s="3" t="s">
        <v>4</v>
      </c>
      <c r="C123" s="3" t="s">
        <v>29</v>
      </c>
      <c r="D123" s="4" t="s">
        <v>33</v>
      </c>
      <c r="E123" s="4" t="s">
        <v>33</v>
      </c>
      <c r="F123" s="3">
        <v>92</v>
      </c>
      <c r="G123" s="6">
        <v>1</v>
      </c>
      <c r="H123" s="10">
        <v>0</v>
      </c>
      <c r="I123" s="6">
        <v>4</v>
      </c>
      <c r="J123" s="6">
        <v>6</v>
      </c>
      <c r="K123" s="6">
        <v>13</v>
      </c>
      <c r="L123" s="6">
        <v>8</v>
      </c>
      <c r="M123" s="3">
        <v>13</v>
      </c>
      <c r="N123" s="3">
        <v>11</v>
      </c>
      <c r="O123" s="6">
        <v>8</v>
      </c>
      <c r="P123" s="6">
        <v>5</v>
      </c>
      <c r="Q123" s="4" t="s">
        <v>33</v>
      </c>
      <c r="R123" s="6">
        <v>3</v>
      </c>
      <c r="S123" s="6">
        <v>1</v>
      </c>
      <c r="T123" s="4" t="s">
        <v>33</v>
      </c>
      <c r="U123" s="4" t="s">
        <v>33</v>
      </c>
      <c r="V123" s="4" t="s">
        <v>33</v>
      </c>
      <c r="W123" s="4" t="s">
        <v>33</v>
      </c>
      <c r="X123" s="6">
        <v>1</v>
      </c>
      <c r="Y123" s="4" t="s">
        <v>33</v>
      </c>
      <c r="Z123" s="4" t="s">
        <v>33</v>
      </c>
      <c r="AA123" s="4" t="s">
        <v>33</v>
      </c>
      <c r="AB123" s="4" t="s">
        <v>33</v>
      </c>
      <c r="AC123" s="4" t="s">
        <v>33</v>
      </c>
    </row>
    <row r="124" spans="1:29" ht="15.75" customHeight="1" x14ac:dyDescent="0.2">
      <c r="A124" s="3" t="s">
        <v>20</v>
      </c>
      <c r="B124" s="3" t="s">
        <v>4</v>
      </c>
      <c r="C124" s="3" t="s">
        <v>30</v>
      </c>
      <c r="D124" s="4" t="s">
        <v>33</v>
      </c>
      <c r="E124" s="4" t="s">
        <v>33</v>
      </c>
      <c r="F124" s="4" t="s">
        <v>33</v>
      </c>
      <c r="G124" s="6">
        <v>0</v>
      </c>
      <c r="H124" s="10">
        <v>2</v>
      </c>
      <c r="I124" s="6">
        <v>8</v>
      </c>
      <c r="J124" s="6">
        <v>9</v>
      </c>
      <c r="K124" s="6">
        <v>20</v>
      </c>
      <c r="L124" s="6">
        <v>10</v>
      </c>
      <c r="M124" s="3">
        <v>7</v>
      </c>
      <c r="N124" s="3">
        <v>8</v>
      </c>
      <c r="O124" s="6">
        <v>6</v>
      </c>
      <c r="P124" s="6">
        <v>3</v>
      </c>
      <c r="Q124" s="4" t="s">
        <v>33</v>
      </c>
      <c r="R124" s="6">
        <v>2</v>
      </c>
      <c r="S124" s="6">
        <v>3</v>
      </c>
      <c r="T124" s="4" t="s">
        <v>33</v>
      </c>
      <c r="U124" s="4" t="s">
        <v>33</v>
      </c>
      <c r="V124" s="4" t="s">
        <v>33</v>
      </c>
      <c r="W124" s="4" t="s">
        <v>33</v>
      </c>
      <c r="X124" s="6">
        <v>0</v>
      </c>
      <c r="Y124" s="4" t="s">
        <v>33</v>
      </c>
      <c r="Z124" s="4" t="s">
        <v>33</v>
      </c>
      <c r="AA124" s="4" t="s">
        <v>33</v>
      </c>
      <c r="AB124" s="4" t="s">
        <v>33</v>
      </c>
      <c r="AC124" s="4" t="s">
        <v>33</v>
      </c>
    </row>
    <row r="125" spans="1:29" ht="15.75" customHeight="1" x14ac:dyDescent="0.2">
      <c r="A125" s="3" t="s">
        <v>20</v>
      </c>
      <c r="B125" s="3" t="s">
        <v>5</v>
      </c>
      <c r="C125" s="3" t="s">
        <v>29</v>
      </c>
      <c r="D125" s="4" t="s">
        <v>33</v>
      </c>
      <c r="E125" s="4" t="s">
        <v>33</v>
      </c>
      <c r="F125" s="4" t="s">
        <v>33</v>
      </c>
      <c r="G125" s="6" t="s">
        <v>33</v>
      </c>
      <c r="H125" s="10">
        <v>1</v>
      </c>
      <c r="I125" s="6">
        <v>1</v>
      </c>
      <c r="J125" s="6">
        <v>2</v>
      </c>
      <c r="K125" s="6">
        <v>7</v>
      </c>
      <c r="L125" s="6">
        <v>10</v>
      </c>
      <c r="M125" s="4" t="s">
        <v>33</v>
      </c>
      <c r="N125" s="3">
        <v>11</v>
      </c>
      <c r="O125" s="6">
        <v>5</v>
      </c>
      <c r="P125" s="6">
        <v>8</v>
      </c>
      <c r="Q125" s="3">
        <v>1</v>
      </c>
      <c r="R125" s="6">
        <v>5</v>
      </c>
      <c r="S125" s="6">
        <v>3</v>
      </c>
      <c r="T125" s="2">
        <v>0</v>
      </c>
      <c r="U125" s="7">
        <v>0</v>
      </c>
      <c r="V125" s="7">
        <v>1</v>
      </c>
      <c r="W125" s="2">
        <v>0</v>
      </c>
      <c r="X125" s="4" t="s">
        <v>33</v>
      </c>
      <c r="Y125" s="4" t="s">
        <v>33</v>
      </c>
      <c r="Z125" s="4" t="s">
        <v>33</v>
      </c>
      <c r="AA125" s="4" t="s">
        <v>33</v>
      </c>
      <c r="AB125" s="4" t="s">
        <v>33</v>
      </c>
      <c r="AC125" s="4" t="s">
        <v>33</v>
      </c>
    </row>
    <row r="126" spans="1:29" ht="15.75" customHeight="1" x14ac:dyDescent="0.2">
      <c r="A126" s="3" t="s">
        <v>20</v>
      </c>
      <c r="B126" s="3" t="s">
        <v>5</v>
      </c>
      <c r="C126" s="3" t="s">
        <v>30</v>
      </c>
      <c r="D126" s="4" t="s">
        <v>33</v>
      </c>
      <c r="E126" s="4" t="s">
        <v>33</v>
      </c>
      <c r="F126" s="4" t="s">
        <v>33</v>
      </c>
      <c r="G126" s="6" t="s">
        <v>33</v>
      </c>
      <c r="H126" s="10">
        <v>4</v>
      </c>
      <c r="I126" s="6">
        <v>0</v>
      </c>
      <c r="J126" s="6">
        <v>4</v>
      </c>
      <c r="K126" s="6">
        <v>8</v>
      </c>
      <c r="L126" s="6">
        <v>4</v>
      </c>
      <c r="M126" s="4" t="s">
        <v>33</v>
      </c>
      <c r="N126" s="3">
        <v>5</v>
      </c>
      <c r="O126" s="6">
        <v>11</v>
      </c>
      <c r="P126" s="6">
        <v>4</v>
      </c>
      <c r="Q126" s="3">
        <v>3</v>
      </c>
      <c r="R126" s="6">
        <v>4</v>
      </c>
      <c r="S126" s="6">
        <v>6</v>
      </c>
      <c r="T126" s="2">
        <v>1</v>
      </c>
      <c r="U126" s="7">
        <v>4</v>
      </c>
      <c r="V126" s="7">
        <v>0</v>
      </c>
      <c r="W126" s="2">
        <v>2</v>
      </c>
      <c r="X126" s="4" t="s">
        <v>33</v>
      </c>
      <c r="Y126" s="4" t="s">
        <v>33</v>
      </c>
      <c r="Z126" s="4" t="s">
        <v>33</v>
      </c>
      <c r="AA126" s="4" t="s">
        <v>33</v>
      </c>
      <c r="AB126" s="4" t="s">
        <v>33</v>
      </c>
      <c r="AC126" s="4" t="s">
        <v>33</v>
      </c>
    </row>
    <row r="127" spans="1:29" ht="15.75" customHeight="1" x14ac:dyDescent="0.2">
      <c r="A127" s="3" t="s">
        <v>20</v>
      </c>
      <c r="B127" s="3" t="s">
        <v>6</v>
      </c>
      <c r="C127" s="3" t="s">
        <v>29</v>
      </c>
      <c r="D127" s="4" t="s">
        <v>33</v>
      </c>
      <c r="E127" s="4" t="s">
        <v>33</v>
      </c>
      <c r="F127" s="4" t="s">
        <v>33</v>
      </c>
      <c r="G127" s="6">
        <v>0</v>
      </c>
      <c r="H127" s="10">
        <v>1</v>
      </c>
      <c r="I127" s="6">
        <v>3</v>
      </c>
      <c r="J127" s="6">
        <v>4</v>
      </c>
      <c r="K127" s="6">
        <v>9</v>
      </c>
      <c r="L127" s="6">
        <v>10</v>
      </c>
      <c r="M127" s="3">
        <v>7</v>
      </c>
      <c r="N127" s="3">
        <v>9</v>
      </c>
      <c r="O127" s="6">
        <v>8</v>
      </c>
      <c r="P127" s="6">
        <v>6</v>
      </c>
      <c r="Q127" s="3">
        <v>1</v>
      </c>
      <c r="R127" s="6">
        <v>3</v>
      </c>
      <c r="S127" s="6">
        <v>8</v>
      </c>
      <c r="T127" s="2">
        <v>2</v>
      </c>
      <c r="U127" s="4" t="s">
        <v>33</v>
      </c>
      <c r="V127" s="7">
        <v>0</v>
      </c>
      <c r="W127" s="4" t="s">
        <v>33</v>
      </c>
      <c r="X127" s="4" t="s">
        <v>33</v>
      </c>
      <c r="Y127" s="4" t="s">
        <v>33</v>
      </c>
      <c r="Z127" s="4" t="s">
        <v>33</v>
      </c>
      <c r="AA127" s="4" t="s">
        <v>33</v>
      </c>
      <c r="AB127" s="4" t="s">
        <v>33</v>
      </c>
      <c r="AC127" s="4" t="s">
        <v>33</v>
      </c>
    </row>
    <row r="128" spans="1:29" ht="15.75" customHeight="1" x14ac:dyDescent="0.2">
      <c r="A128" s="3" t="s">
        <v>20</v>
      </c>
      <c r="B128" s="3" t="s">
        <v>6</v>
      </c>
      <c r="C128" s="3" t="s">
        <v>30</v>
      </c>
      <c r="D128" s="4" t="s">
        <v>33</v>
      </c>
      <c r="E128" s="4" t="s">
        <v>33</v>
      </c>
      <c r="F128" s="4" t="s">
        <v>33</v>
      </c>
      <c r="G128" s="6">
        <v>2</v>
      </c>
      <c r="H128" s="10">
        <v>3</v>
      </c>
      <c r="I128" s="6">
        <v>7</v>
      </c>
      <c r="J128" s="6">
        <v>3</v>
      </c>
      <c r="K128" s="6">
        <v>13</v>
      </c>
      <c r="L128" s="6">
        <v>12</v>
      </c>
      <c r="M128" s="3">
        <v>12</v>
      </c>
      <c r="N128" s="3">
        <v>8</v>
      </c>
      <c r="O128" s="6">
        <v>11</v>
      </c>
      <c r="P128" s="6">
        <v>4</v>
      </c>
      <c r="Q128" s="3">
        <v>2</v>
      </c>
      <c r="R128" s="6">
        <v>3</v>
      </c>
      <c r="S128" s="6">
        <v>4</v>
      </c>
      <c r="T128" s="2">
        <v>0</v>
      </c>
      <c r="U128" s="4" t="s">
        <v>33</v>
      </c>
      <c r="V128" s="7">
        <v>1</v>
      </c>
      <c r="W128" s="4" t="s">
        <v>33</v>
      </c>
      <c r="X128" s="4" t="s">
        <v>33</v>
      </c>
      <c r="Y128" s="4" t="s">
        <v>33</v>
      </c>
      <c r="Z128" s="4" t="s">
        <v>33</v>
      </c>
      <c r="AA128" s="4" t="s">
        <v>33</v>
      </c>
      <c r="AB128" s="4" t="s">
        <v>33</v>
      </c>
      <c r="AC128" s="4" t="s">
        <v>33</v>
      </c>
    </row>
    <row r="129" spans="1:29" ht="15.75" customHeight="1" x14ac:dyDescent="0.2">
      <c r="A129" s="3" t="s">
        <v>20</v>
      </c>
      <c r="B129" s="3" t="s">
        <v>7</v>
      </c>
      <c r="C129" s="3" t="s">
        <v>29</v>
      </c>
      <c r="D129" s="4" t="s">
        <v>33</v>
      </c>
      <c r="E129" s="4" t="s">
        <v>33</v>
      </c>
      <c r="F129" s="4" t="s">
        <v>33</v>
      </c>
      <c r="G129" s="6" t="s">
        <v>33</v>
      </c>
      <c r="H129" s="10">
        <v>3</v>
      </c>
      <c r="I129" s="6">
        <v>7</v>
      </c>
      <c r="J129" s="6">
        <v>7</v>
      </c>
      <c r="K129" s="6">
        <v>18</v>
      </c>
      <c r="L129" s="6">
        <v>8</v>
      </c>
      <c r="M129" s="3">
        <v>13</v>
      </c>
      <c r="N129" s="3">
        <v>8</v>
      </c>
      <c r="O129" s="6">
        <v>4</v>
      </c>
      <c r="P129" s="4" t="s">
        <v>33</v>
      </c>
      <c r="Q129" s="4" t="s">
        <v>33</v>
      </c>
      <c r="R129" s="6">
        <v>0</v>
      </c>
      <c r="S129" s="4" t="s">
        <v>33</v>
      </c>
      <c r="T129" s="4" t="s">
        <v>33</v>
      </c>
      <c r="U129" s="4" t="s">
        <v>33</v>
      </c>
      <c r="V129" s="4" t="s">
        <v>33</v>
      </c>
      <c r="W129" s="4" t="s">
        <v>33</v>
      </c>
      <c r="X129" s="4" t="s">
        <v>33</v>
      </c>
      <c r="Y129" s="4" t="s">
        <v>33</v>
      </c>
      <c r="Z129" s="4" t="s">
        <v>33</v>
      </c>
      <c r="AA129" s="4" t="s">
        <v>33</v>
      </c>
      <c r="AB129" s="4" t="s">
        <v>33</v>
      </c>
      <c r="AC129" s="4" t="s">
        <v>33</v>
      </c>
    </row>
    <row r="130" spans="1:29" ht="15.75" customHeight="1" x14ac:dyDescent="0.2">
      <c r="A130" s="3" t="s">
        <v>20</v>
      </c>
      <c r="B130" s="3" t="s">
        <v>7</v>
      </c>
      <c r="C130" s="3" t="s">
        <v>30</v>
      </c>
      <c r="D130" s="4" t="s">
        <v>33</v>
      </c>
      <c r="E130" s="4" t="s">
        <v>33</v>
      </c>
      <c r="F130" s="4" t="s">
        <v>33</v>
      </c>
      <c r="G130" s="6" t="s">
        <v>33</v>
      </c>
      <c r="H130" s="10">
        <v>8</v>
      </c>
      <c r="I130" s="6">
        <v>8</v>
      </c>
      <c r="J130" s="6">
        <v>8</v>
      </c>
      <c r="K130" s="6">
        <v>17</v>
      </c>
      <c r="L130" s="6">
        <v>7</v>
      </c>
      <c r="M130" s="3">
        <v>1</v>
      </c>
      <c r="N130" s="3">
        <v>1</v>
      </c>
      <c r="O130" s="6">
        <v>0</v>
      </c>
      <c r="P130" s="4" t="s">
        <v>33</v>
      </c>
      <c r="Q130" s="4" t="s">
        <v>33</v>
      </c>
      <c r="R130" s="6">
        <v>1</v>
      </c>
      <c r="S130" s="4" t="s">
        <v>33</v>
      </c>
      <c r="T130" s="4" t="s">
        <v>33</v>
      </c>
      <c r="U130" s="4" t="s">
        <v>33</v>
      </c>
      <c r="V130" s="4" t="s">
        <v>33</v>
      </c>
      <c r="W130" s="4" t="s">
        <v>33</v>
      </c>
      <c r="X130" s="4" t="s">
        <v>33</v>
      </c>
      <c r="Y130" s="4" t="s">
        <v>33</v>
      </c>
      <c r="Z130" s="4" t="s">
        <v>33</v>
      </c>
      <c r="AA130" s="4" t="s">
        <v>33</v>
      </c>
      <c r="AB130" s="4" t="s">
        <v>33</v>
      </c>
      <c r="AC130" s="4" t="s">
        <v>33</v>
      </c>
    </row>
    <row r="131" spans="1:29" ht="15.75" customHeight="1" x14ac:dyDescent="0.2">
      <c r="A131" s="3" t="s">
        <v>20</v>
      </c>
      <c r="B131" s="3" t="s">
        <v>8</v>
      </c>
      <c r="C131" s="3" t="s">
        <v>29</v>
      </c>
      <c r="D131" s="4" t="s">
        <v>33</v>
      </c>
      <c r="E131" s="4" t="s">
        <v>33</v>
      </c>
      <c r="F131" s="4" t="s">
        <v>33</v>
      </c>
      <c r="G131" s="6">
        <v>1</v>
      </c>
      <c r="H131" s="10">
        <v>2</v>
      </c>
      <c r="I131" s="6">
        <v>5</v>
      </c>
      <c r="J131" s="6">
        <v>11</v>
      </c>
      <c r="K131" s="6">
        <v>21</v>
      </c>
      <c r="L131" s="6">
        <v>10</v>
      </c>
      <c r="M131" s="3">
        <v>15</v>
      </c>
      <c r="N131" s="3">
        <v>5</v>
      </c>
      <c r="O131" s="6">
        <v>4</v>
      </c>
      <c r="P131" s="6">
        <v>5</v>
      </c>
      <c r="Q131" s="3">
        <v>3</v>
      </c>
      <c r="R131" s="6">
        <v>2</v>
      </c>
      <c r="S131" s="6">
        <v>1</v>
      </c>
      <c r="T131" s="2">
        <v>2</v>
      </c>
      <c r="U131" s="7">
        <v>0</v>
      </c>
      <c r="V131" s="4" t="s">
        <v>33</v>
      </c>
      <c r="W131" s="4" t="s">
        <v>33</v>
      </c>
      <c r="X131" s="6">
        <v>0</v>
      </c>
      <c r="Y131" s="6">
        <v>0</v>
      </c>
      <c r="Z131" s="4" t="s">
        <v>33</v>
      </c>
      <c r="AA131" s="4" t="s">
        <v>33</v>
      </c>
      <c r="AB131" s="4" t="s">
        <v>33</v>
      </c>
      <c r="AC131" s="4" t="s">
        <v>33</v>
      </c>
    </row>
    <row r="132" spans="1:29" ht="15.75" customHeight="1" x14ac:dyDescent="0.2">
      <c r="A132" s="3" t="s">
        <v>20</v>
      </c>
      <c r="B132" s="3" t="s">
        <v>8</v>
      </c>
      <c r="C132" s="3" t="s">
        <v>30</v>
      </c>
      <c r="D132" s="4" t="s">
        <v>33</v>
      </c>
      <c r="E132" s="4" t="s">
        <v>33</v>
      </c>
      <c r="F132" s="4" t="s">
        <v>33</v>
      </c>
      <c r="G132" s="6">
        <v>2</v>
      </c>
      <c r="H132" s="10">
        <v>7</v>
      </c>
      <c r="I132" s="6">
        <v>2</v>
      </c>
      <c r="J132" s="6">
        <v>6</v>
      </c>
      <c r="K132" s="6">
        <v>11</v>
      </c>
      <c r="L132" s="6">
        <v>5</v>
      </c>
      <c r="M132" s="3">
        <v>9</v>
      </c>
      <c r="N132" s="3">
        <v>7</v>
      </c>
      <c r="O132" s="6">
        <v>3</v>
      </c>
      <c r="P132" s="6">
        <v>2</v>
      </c>
      <c r="Q132" s="3">
        <v>2</v>
      </c>
      <c r="R132" s="6">
        <v>1</v>
      </c>
      <c r="S132" s="6">
        <v>0</v>
      </c>
      <c r="T132" s="2">
        <v>0</v>
      </c>
      <c r="U132" s="7">
        <v>1</v>
      </c>
      <c r="V132" s="4" t="s">
        <v>33</v>
      </c>
      <c r="W132" s="4" t="s">
        <v>33</v>
      </c>
      <c r="X132" s="6">
        <v>1</v>
      </c>
      <c r="Y132" s="6">
        <v>1</v>
      </c>
      <c r="Z132" s="4" t="s">
        <v>33</v>
      </c>
      <c r="AA132" s="4" t="s">
        <v>33</v>
      </c>
      <c r="AB132" s="4" t="s">
        <v>33</v>
      </c>
      <c r="AC132" s="4" t="s">
        <v>33</v>
      </c>
    </row>
    <row r="133" spans="1:29" ht="15.75" customHeight="1" x14ac:dyDescent="0.2">
      <c r="A133" s="3" t="s">
        <v>21</v>
      </c>
      <c r="B133" s="3" t="s">
        <v>4</v>
      </c>
      <c r="C133" s="3" t="s">
        <v>29</v>
      </c>
      <c r="D133" s="4" t="s">
        <v>33</v>
      </c>
      <c r="E133" s="4" t="s">
        <v>33</v>
      </c>
      <c r="F133" s="3">
        <v>0</v>
      </c>
      <c r="G133" s="6">
        <v>2</v>
      </c>
      <c r="H133" s="10">
        <v>27</v>
      </c>
      <c r="I133" s="6">
        <v>9</v>
      </c>
      <c r="J133" s="6">
        <v>5</v>
      </c>
      <c r="K133" s="6">
        <v>1</v>
      </c>
      <c r="L133" s="6">
        <v>1</v>
      </c>
      <c r="M133" s="4" t="s">
        <v>33</v>
      </c>
      <c r="N133" s="4" t="s">
        <v>33</v>
      </c>
      <c r="O133" s="6">
        <v>1</v>
      </c>
      <c r="P133" s="4" t="s">
        <v>33</v>
      </c>
      <c r="Q133" s="4" t="s">
        <v>33</v>
      </c>
      <c r="R133" s="4" t="s">
        <v>33</v>
      </c>
      <c r="S133" s="4" t="s">
        <v>33</v>
      </c>
      <c r="T133" s="4" t="s">
        <v>33</v>
      </c>
      <c r="U133" s="4" t="s">
        <v>33</v>
      </c>
      <c r="V133" s="4" t="s">
        <v>33</v>
      </c>
      <c r="W133" s="4" t="s">
        <v>33</v>
      </c>
      <c r="X133" s="4" t="s">
        <v>33</v>
      </c>
      <c r="Y133" s="4" t="s">
        <v>33</v>
      </c>
      <c r="Z133" s="4" t="s">
        <v>33</v>
      </c>
      <c r="AA133" s="4" t="s">
        <v>33</v>
      </c>
      <c r="AB133" s="4" t="s">
        <v>33</v>
      </c>
      <c r="AC133" s="4" t="s">
        <v>33</v>
      </c>
    </row>
    <row r="134" spans="1:29" ht="15.75" customHeight="1" x14ac:dyDescent="0.2">
      <c r="A134" s="3" t="s">
        <v>21</v>
      </c>
      <c r="B134" s="3" t="s">
        <v>4</v>
      </c>
      <c r="C134" s="3" t="s">
        <v>30</v>
      </c>
      <c r="D134" s="4" t="s">
        <v>33</v>
      </c>
      <c r="E134" s="4" t="s">
        <v>33</v>
      </c>
      <c r="F134" s="3">
        <v>1</v>
      </c>
      <c r="G134" s="6">
        <v>7</v>
      </c>
      <c r="H134" s="10">
        <v>14</v>
      </c>
      <c r="I134" s="6">
        <v>5</v>
      </c>
      <c r="J134" s="6">
        <v>1</v>
      </c>
      <c r="K134" s="6">
        <v>1</v>
      </c>
      <c r="L134" s="6">
        <v>0</v>
      </c>
      <c r="M134" s="4" t="s">
        <v>33</v>
      </c>
      <c r="N134" s="4" t="s">
        <v>33</v>
      </c>
      <c r="O134" s="6">
        <v>0</v>
      </c>
      <c r="P134" s="4" t="s">
        <v>33</v>
      </c>
      <c r="Q134" s="4" t="s">
        <v>33</v>
      </c>
      <c r="R134" s="4" t="s">
        <v>33</v>
      </c>
      <c r="S134" s="4" t="s">
        <v>33</v>
      </c>
      <c r="T134" s="4" t="s">
        <v>33</v>
      </c>
      <c r="U134" s="4" t="s">
        <v>33</v>
      </c>
      <c r="V134" s="4" t="s">
        <v>33</v>
      </c>
      <c r="W134" s="4" t="s">
        <v>33</v>
      </c>
      <c r="X134" s="4" t="s">
        <v>33</v>
      </c>
      <c r="Y134" s="4" t="s">
        <v>33</v>
      </c>
      <c r="Z134" s="4" t="s">
        <v>33</v>
      </c>
      <c r="AA134" s="4" t="s">
        <v>33</v>
      </c>
      <c r="AB134" s="4" t="s">
        <v>33</v>
      </c>
      <c r="AC134" s="4" t="s">
        <v>33</v>
      </c>
    </row>
    <row r="135" spans="1:29" ht="15.75" customHeight="1" x14ac:dyDescent="0.2">
      <c r="A135" s="3" t="s">
        <v>21</v>
      </c>
      <c r="B135" s="3" t="s">
        <v>5</v>
      </c>
      <c r="C135" s="3" t="s">
        <v>29</v>
      </c>
      <c r="D135" s="4" t="s">
        <v>33</v>
      </c>
      <c r="E135" s="4" t="s">
        <v>33</v>
      </c>
      <c r="F135" s="3">
        <v>1</v>
      </c>
      <c r="G135" s="6">
        <v>3</v>
      </c>
      <c r="H135" s="10">
        <v>15</v>
      </c>
      <c r="I135" s="6">
        <v>16</v>
      </c>
      <c r="J135" s="6">
        <v>3</v>
      </c>
      <c r="K135" s="6">
        <v>2</v>
      </c>
      <c r="L135" s="4" t="s">
        <v>33</v>
      </c>
      <c r="M135" s="3">
        <v>0</v>
      </c>
      <c r="N135" s="4" t="s">
        <v>33</v>
      </c>
      <c r="O135" s="4" t="s">
        <v>33</v>
      </c>
      <c r="P135" s="4" t="s">
        <v>33</v>
      </c>
      <c r="Q135" s="4" t="s">
        <v>33</v>
      </c>
      <c r="R135" s="4" t="s">
        <v>33</v>
      </c>
      <c r="S135" s="4" t="s">
        <v>33</v>
      </c>
      <c r="T135" s="4" t="s">
        <v>33</v>
      </c>
      <c r="U135" s="4" t="s">
        <v>33</v>
      </c>
      <c r="V135" s="4" t="s">
        <v>33</v>
      </c>
      <c r="W135" s="4" t="s">
        <v>33</v>
      </c>
      <c r="X135" s="4" t="s">
        <v>33</v>
      </c>
      <c r="Y135" s="4" t="s">
        <v>33</v>
      </c>
      <c r="Z135" s="4" t="s">
        <v>33</v>
      </c>
      <c r="AA135" s="4" t="s">
        <v>33</v>
      </c>
      <c r="AB135" s="4" t="s">
        <v>33</v>
      </c>
      <c r="AC135" s="4" t="s">
        <v>33</v>
      </c>
    </row>
    <row r="136" spans="1:29" ht="15.75" customHeight="1" x14ac:dyDescent="0.2">
      <c r="A136" s="3" t="s">
        <v>21</v>
      </c>
      <c r="B136" s="3" t="s">
        <v>5</v>
      </c>
      <c r="C136" s="3" t="s">
        <v>30</v>
      </c>
      <c r="D136" s="4" t="s">
        <v>33</v>
      </c>
      <c r="E136" s="4" t="s">
        <v>33</v>
      </c>
      <c r="F136" s="3">
        <v>0</v>
      </c>
      <c r="G136" s="6">
        <v>15</v>
      </c>
      <c r="H136" s="10">
        <v>12</v>
      </c>
      <c r="I136" s="6">
        <v>8</v>
      </c>
      <c r="J136" s="6">
        <v>0</v>
      </c>
      <c r="K136" s="6">
        <v>1</v>
      </c>
      <c r="L136" s="4" t="s">
        <v>33</v>
      </c>
      <c r="M136" s="3">
        <v>1</v>
      </c>
      <c r="N136" s="4" t="s">
        <v>33</v>
      </c>
      <c r="O136" s="4" t="s">
        <v>33</v>
      </c>
      <c r="P136" s="4" t="s">
        <v>33</v>
      </c>
      <c r="Q136" s="4" t="s">
        <v>33</v>
      </c>
      <c r="R136" s="4" t="s">
        <v>33</v>
      </c>
      <c r="S136" s="4" t="s">
        <v>33</v>
      </c>
      <c r="T136" s="4" t="s">
        <v>33</v>
      </c>
      <c r="U136" s="4" t="s">
        <v>33</v>
      </c>
      <c r="V136" s="4" t="s">
        <v>33</v>
      </c>
      <c r="W136" s="4" t="s">
        <v>33</v>
      </c>
      <c r="X136" s="4" t="s">
        <v>33</v>
      </c>
      <c r="Y136" s="4" t="s">
        <v>33</v>
      </c>
      <c r="Z136" s="4" t="s">
        <v>33</v>
      </c>
      <c r="AA136" s="4" t="s">
        <v>33</v>
      </c>
      <c r="AB136" s="4" t="s">
        <v>33</v>
      </c>
      <c r="AC136" s="4" t="s">
        <v>33</v>
      </c>
    </row>
    <row r="137" spans="1:29" ht="15.75" customHeight="1" x14ac:dyDescent="0.2">
      <c r="A137" s="3" t="s">
        <v>21</v>
      </c>
      <c r="B137" s="3" t="s">
        <v>6</v>
      </c>
      <c r="C137" s="3" t="s">
        <v>29</v>
      </c>
      <c r="D137" s="4" t="s">
        <v>33</v>
      </c>
      <c r="E137" s="4" t="s">
        <v>33</v>
      </c>
      <c r="F137" s="3">
        <v>0</v>
      </c>
      <c r="G137" s="6">
        <v>8</v>
      </c>
      <c r="H137" s="10">
        <v>9</v>
      </c>
      <c r="I137" s="6">
        <v>20</v>
      </c>
      <c r="J137" s="6">
        <v>3</v>
      </c>
      <c r="K137" s="6">
        <v>3</v>
      </c>
      <c r="L137" s="6">
        <v>1</v>
      </c>
      <c r="M137" s="3">
        <v>0</v>
      </c>
      <c r="N137" s="3">
        <v>1</v>
      </c>
      <c r="O137" s="4" t="s">
        <v>33</v>
      </c>
      <c r="P137" s="4" t="s">
        <v>33</v>
      </c>
      <c r="Q137" s="4" t="s">
        <v>33</v>
      </c>
      <c r="R137" s="4" t="s">
        <v>33</v>
      </c>
      <c r="S137" s="4" t="s">
        <v>33</v>
      </c>
      <c r="T137" s="4" t="s">
        <v>33</v>
      </c>
      <c r="U137" s="4" t="s">
        <v>33</v>
      </c>
      <c r="V137" s="4" t="s">
        <v>33</v>
      </c>
      <c r="W137" s="4" t="s">
        <v>33</v>
      </c>
      <c r="X137" s="4" t="s">
        <v>33</v>
      </c>
      <c r="Y137" s="4" t="s">
        <v>33</v>
      </c>
      <c r="Z137" s="4" t="s">
        <v>33</v>
      </c>
      <c r="AA137" s="4" t="s">
        <v>33</v>
      </c>
      <c r="AB137" s="4" t="s">
        <v>33</v>
      </c>
      <c r="AC137" s="4" t="s">
        <v>33</v>
      </c>
    </row>
    <row r="138" spans="1:29" ht="15.75" customHeight="1" x14ac:dyDescent="0.2">
      <c r="A138" s="3" t="s">
        <v>21</v>
      </c>
      <c r="B138" s="3" t="s">
        <v>6</v>
      </c>
      <c r="C138" s="3" t="s">
        <v>30</v>
      </c>
      <c r="D138" s="4" t="s">
        <v>33</v>
      </c>
      <c r="E138" s="4" t="s">
        <v>33</v>
      </c>
      <c r="F138" s="3">
        <v>6</v>
      </c>
      <c r="G138" s="6">
        <v>15</v>
      </c>
      <c r="H138" s="10">
        <v>14</v>
      </c>
      <c r="I138" s="6">
        <v>9</v>
      </c>
      <c r="J138" s="6">
        <v>5</v>
      </c>
      <c r="K138" s="6">
        <v>0</v>
      </c>
      <c r="L138" s="6">
        <v>1</v>
      </c>
      <c r="M138" s="3">
        <v>1</v>
      </c>
      <c r="N138" s="3">
        <v>0</v>
      </c>
      <c r="O138" s="4" t="s">
        <v>33</v>
      </c>
      <c r="P138" s="4" t="s">
        <v>33</v>
      </c>
      <c r="Q138" s="4" t="s">
        <v>33</v>
      </c>
      <c r="R138" s="4" t="s">
        <v>33</v>
      </c>
      <c r="S138" s="4" t="s">
        <v>33</v>
      </c>
      <c r="T138" s="4" t="s">
        <v>33</v>
      </c>
      <c r="U138" s="4" t="s">
        <v>33</v>
      </c>
      <c r="V138" s="4" t="s">
        <v>33</v>
      </c>
      <c r="W138" s="4" t="s">
        <v>33</v>
      </c>
      <c r="X138" s="4" t="s">
        <v>33</v>
      </c>
      <c r="Y138" s="4" t="s">
        <v>33</v>
      </c>
      <c r="Z138" s="4" t="s">
        <v>33</v>
      </c>
      <c r="AA138" s="4" t="s">
        <v>33</v>
      </c>
      <c r="AB138" s="4" t="s">
        <v>33</v>
      </c>
      <c r="AC138" s="4" t="s">
        <v>33</v>
      </c>
    </row>
    <row r="139" spans="1:29" ht="15.75" customHeight="1" x14ac:dyDescent="0.2">
      <c r="A139" s="3" t="s">
        <v>21</v>
      </c>
      <c r="B139" s="3" t="s">
        <v>7</v>
      </c>
      <c r="C139" s="3" t="s">
        <v>29</v>
      </c>
      <c r="D139" s="4" t="s">
        <v>33</v>
      </c>
      <c r="E139" s="4" t="s">
        <v>33</v>
      </c>
      <c r="F139" s="3">
        <v>2</v>
      </c>
      <c r="G139" s="6">
        <v>5</v>
      </c>
      <c r="H139" s="10">
        <v>18</v>
      </c>
      <c r="I139" s="6">
        <v>10</v>
      </c>
      <c r="J139" s="6">
        <v>3</v>
      </c>
      <c r="K139" s="6">
        <v>0</v>
      </c>
      <c r="L139" s="6">
        <v>1</v>
      </c>
      <c r="M139" s="4" t="s">
        <v>33</v>
      </c>
      <c r="N139" s="4" t="s">
        <v>33</v>
      </c>
      <c r="O139" s="4" t="s">
        <v>33</v>
      </c>
      <c r="P139" s="4" t="s">
        <v>33</v>
      </c>
      <c r="Q139" s="4" t="s">
        <v>33</v>
      </c>
      <c r="R139" s="4" t="s">
        <v>33</v>
      </c>
      <c r="S139" s="4" t="s">
        <v>33</v>
      </c>
      <c r="T139" s="4" t="s">
        <v>33</v>
      </c>
      <c r="U139" s="4" t="s">
        <v>33</v>
      </c>
      <c r="V139" s="4" t="s">
        <v>33</v>
      </c>
      <c r="W139" s="4" t="s">
        <v>33</v>
      </c>
      <c r="X139" s="4" t="s">
        <v>33</v>
      </c>
      <c r="Y139" s="4" t="s">
        <v>33</v>
      </c>
      <c r="Z139" s="4" t="s">
        <v>33</v>
      </c>
      <c r="AA139" s="4" t="s">
        <v>33</v>
      </c>
      <c r="AB139" s="4" t="s">
        <v>33</v>
      </c>
      <c r="AC139" s="4" t="s">
        <v>33</v>
      </c>
    </row>
    <row r="140" spans="1:29" ht="15.75" customHeight="1" x14ac:dyDescent="0.2">
      <c r="A140" s="3" t="s">
        <v>21</v>
      </c>
      <c r="B140" s="3" t="s">
        <v>7</v>
      </c>
      <c r="C140" s="3" t="s">
        <v>30</v>
      </c>
      <c r="D140" s="4" t="s">
        <v>33</v>
      </c>
      <c r="E140" s="4" t="s">
        <v>33</v>
      </c>
      <c r="F140" s="3">
        <v>3</v>
      </c>
      <c r="G140" s="6">
        <v>11</v>
      </c>
      <c r="H140" s="10">
        <v>13</v>
      </c>
      <c r="I140" s="6">
        <v>2</v>
      </c>
      <c r="J140" s="6">
        <v>0</v>
      </c>
      <c r="K140" s="6">
        <v>2</v>
      </c>
      <c r="L140" s="6">
        <v>0</v>
      </c>
      <c r="M140" s="4" t="s">
        <v>33</v>
      </c>
      <c r="N140" s="4" t="s">
        <v>33</v>
      </c>
      <c r="O140" s="4" t="s">
        <v>33</v>
      </c>
      <c r="P140" s="4" t="s">
        <v>33</v>
      </c>
      <c r="Q140" s="4" t="s">
        <v>33</v>
      </c>
      <c r="R140" s="4" t="s">
        <v>33</v>
      </c>
      <c r="S140" s="4" t="s">
        <v>33</v>
      </c>
      <c r="T140" s="4" t="s">
        <v>33</v>
      </c>
      <c r="U140" s="4" t="s">
        <v>33</v>
      </c>
      <c r="V140" s="4" t="s">
        <v>33</v>
      </c>
      <c r="W140" s="4" t="s">
        <v>33</v>
      </c>
      <c r="X140" s="4" t="s">
        <v>33</v>
      </c>
      <c r="Y140" s="4" t="s">
        <v>33</v>
      </c>
      <c r="Z140" s="4" t="s">
        <v>33</v>
      </c>
      <c r="AA140" s="4" t="s">
        <v>33</v>
      </c>
      <c r="AB140" s="4" t="s">
        <v>33</v>
      </c>
      <c r="AC140" s="4" t="s">
        <v>33</v>
      </c>
    </row>
    <row r="141" spans="1:29" ht="15.75" customHeight="1" x14ac:dyDescent="0.2">
      <c r="A141" s="3" t="s">
        <v>21</v>
      </c>
      <c r="B141" s="3" t="s">
        <v>8</v>
      </c>
      <c r="C141" s="3" t="s">
        <v>29</v>
      </c>
      <c r="D141" s="4" t="s">
        <v>33</v>
      </c>
      <c r="E141" s="4" t="s">
        <v>33</v>
      </c>
      <c r="F141" s="3">
        <v>0</v>
      </c>
      <c r="G141" s="6">
        <v>6</v>
      </c>
      <c r="H141" s="10">
        <v>17</v>
      </c>
      <c r="I141" s="6">
        <v>5</v>
      </c>
      <c r="J141" s="6">
        <v>1</v>
      </c>
      <c r="K141" s="6">
        <v>1</v>
      </c>
      <c r="L141" s="6">
        <v>2</v>
      </c>
      <c r="M141" s="4" t="s">
        <v>33</v>
      </c>
      <c r="N141" s="4" t="s">
        <v>33</v>
      </c>
      <c r="O141" s="4" t="s">
        <v>33</v>
      </c>
      <c r="P141" s="4" t="s">
        <v>33</v>
      </c>
      <c r="Q141" s="3">
        <v>1</v>
      </c>
      <c r="R141" s="4" t="s">
        <v>33</v>
      </c>
      <c r="S141" s="4" t="s">
        <v>33</v>
      </c>
      <c r="T141" s="4" t="s">
        <v>33</v>
      </c>
      <c r="U141" s="4" t="s">
        <v>33</v>
      </c>
      <c r="V141" s="4" t="s">
        <v>33</v>
      </c>
      <c r="W141" s="4" t="s">
        <v>33</v>
      </c>
      <c r="X141" s="4" t="s">
        <v>33</v>
      </c>
      <c r="Y141" s="4" t="s">
        <v>33</v>
      </c>
      <c r="Z141" s="4" t="s">
        <v>33</v>
      </c>
      <c r="AA141" s="4" t="s">
        <v>33</v>
      </c>
      <c r="AB141" s="4" t="s">
        <v>33</v>
      </c>
      <c r="AC141" s="4" t="s">
        <v>33</v>
      </c>
    </row>
    <row r="142" spans="1:29" ht="15.75" customHeight="1" x14ac:dyDescent="0.2">
      <c r="A142" s="3" t="s">
        <v>21</v>
      </c>
      <c r="B142" s="3" t="s">
        <v>8</v>
      </c>
      <c r="C142" s="3" t="s">
        <v>30</v>
      </c>
      <c r="D142" s="4" t="s">
        <v>33</v>
      </c>
      <c r="E142" s="4" t="s">
        <v>33</v>
      </c>
      <c r="F142" s="3">
        <v>4</v>
      </c>
      <c r="G142" s="6">
        <v>16</v>
      </c>
      <c r="H142" s="10">
        <v>11</v>
      </c>
      <c r="I142" s="6">
        <v>5</v>
      </c>
      <c r="J142" s="6">
        <v>1</v>
      </c>
      <c r="K142" s="6">
        <v>0</v>
      </c>
      <c r="L142" s="6">
        <v>0</v>
      </c>
      <c r="M142" s="4" t="s">
        <v>33</v>
      </c>
      <c r="N142" s="4" t="s">
        <v>33</v>
      </c>
      <c r="O142" s="4" t="s">
        <v>33</v>
      </c>
      <c r="P142" s="4" t="s">
        <v>33</v>
      </c>
      <c r="Q142" s="3">
        <v>1</v>
      </c>
      <c r="R142" s="4" t="s">
        <v>33</v>
      </c>
      <c r="S142" s="4" t="s">
        <v>33</v>
      </c>
      <c r="T142" s="4" t="s">
        <v>33</v>
      </c>
      <c r="U142" s="4" t="s">
        <v>33</v>
      </c>
      <c r="V142" s="4" t="s">
        <v>33</v>
      </c>
      <c r="W142" s="4" t="s">
        <v>33</v>
      </c>
      <c r="X142" s="4" t="s">
        <v>33</v>
      </c>
      <c r="Y142" s="4" t="s">
        <v>33</v>
      </c>
      <c r="Z142" s="4" t="s">
        <v>33</v>
      </c>
      <c r="AA142" s="4" t="s">
        <v>33</v>
      </c>
      <c r="AB142" s="4" t="s">
        <v>33</v>
      </c>
      <c r="AC142" s="4" t="s">
        <v>33</v>
      </c>
    </row>
    <row r="143" spans="1:29" ht="15.75" customHeight="1" x14ac:dyDescent="0.2">
      <c r="A143" s="3" t="s">
        <v>22</v>
      </c>
      <c r="B143" s="3" t="s">
        <v>4</v>
      </c>
      <c r="C143" s="3" t="s">
        <v>29</v>
      </c>
      <c r="D143" s="4" t="s">
        <v>33</v>
      </c>
      <c r="E143" s="4" t="s">
        <v>33</v>
      </c>
      <c r="F143" s="4" t="s">
        <v>33</v>
      </c>
      <c r="G143" s="6">
        <v>3</v>
      </c>
      <c r="H143" s="10">
        <v>10</v>
      </c>
      <c r="I143" s="6">
        <v>9</v>
      </c>
      <c r="J143" s="6">
        <v>4</v>
      </c>
      <c r="K143" s="4" t="s">
        <v>33</v>
      </c>
      <c r="L143" s="4" t="s">
        <v>33</v>
      </c>
      <c r="M143" s="3">
        <v>1</v>
      </c>
      <c r="N143" s="3">
        <v>0</v>
      </c>
      <c r="O143" s="4" t="s">
        <v>33</v>
      </c>
      <c r="P143" s="6">
        <v>0</v>
      </c>
      <c r="Q143" s="4" t="s">
        <v>33</v>
      </c>
      <c r="R143" s="4" t="s">
        <v>33</v>
      </c>
      <c r="S143" s="4" t="s">
        <v>33</v>
      </c>
      <c r="T143" s="4" t="s">
        <v>33</v>
      </c>
      <c r="U143" s="4" t="s">
        <v>33</v>
      </c>
      <c r="V143" s="4" t="s">
        <v>33</v>
      </c>
      <c r="W143" s="4" t="s">
        <v>33</v>
      </c>
      <c r="X143" s="4" t="s">
        <v>33</v>
      </c>
      <c r="Y143" s="4" t="s">
        <v>33</v>
      </c>
      <c r="Z143" s="4" t="s">
        <v>33</v>
      </c>
      <c r="AA143" s="4" t="s">
        <v>33</v>
      </c>
      <c r="AB143" s="4" t="s">
        <v>33</v>
      </c>
      <c r="AC143" s="4" t="s">
        <v>33</v>
      </c>
    </row>
    <row r="144" spans="1:29" ht="15.75" customHeight="1" x14ac:dyDescent="0.2">
      <c r="A144" s="3" t="s">
        <v>22</v>
      </c>
      <c r="B144" s="3" t="s">
        <v>4</v>
      </c>
      <c r="C144" s="3" t="s">
        <v>30</v>
      </c>
      <c r="D144" s="4" t="s">
        <v>33</v>
      </c>
      <c r="E144" s="4" t="s">
        <v>33</v>
      </c>
      <c r="F144" s="4" t="s">
        <v>33</v>
      </c>
      <c r="G144" s="6">
        <v>14</v>
      </c>
      <c r="H144" s="10">
        <v>17</v>
      </c>
      <c r="I144" s="6">
        <v>7</v>
      </c>
      <c r="J144" s="6">
        <v>0</v>
      </c>
      <c r="K144" s="4" t="s">
        <v>33</v>
      </c>
      <c r="L144" s="4" t="s">
        <v>33</v>
      </c>
      <c r="M144" s="3">
        <v>0</v>
      </c>
      <c r="N144" s="3">
        <v>1</v>
      </c>
      <c r="O144" s="4" t="s">
        <v>33</v>
      </c>
      <c r="P144" s="6">
        <v>1</v>
      </c>
      <c r="Q144" s="4" t="s">
        <v>33</v>
      </c>
      <c r="R144" s="4" t="s">
        <v>33</v>
      </c>
      <c r="S144" s="4" t="s">
        <v>33</v>
      </c>
      <c r="T144" s="4" t="s">
        <v>33</v>
      </c>
      <c r="U144" s="4" t="s">
        <v>33</v>
      </c>
      <c r="V144" s="4" t="s">
        <v>33</v>
      </c>
      <c r="W144" s="4" t="s">
        <v>33</v>
      </c>
      <c r="X144" s="4" t="s">
        <v>33</v>
      </c>
      <c r="Y144" s="4" t="s">
        <v>33</v>
      </c>
      <c r="Z144" s="4" t="s">
        <v>33</v>
      </c>
      <c r="AA144" s="4" t="s">
        <v>33</v>
      </c>
      <c r="AB144" s="4" t="s">
        <v>33</v>
      </c>
      <c r="AC144" s="4" t="s">
        <v>33</v>
      </c>
    </row>
    <row r="145" spans="1:29" ht="15.75" customHeight="1" x14ac:dyDescent="0.2">
      <c r="A145" s="3" t="s">
        <v>22</v>
      </c>
      <c r="B145" s="3" t="s">
        <v>5</v>
      </c>
      <c r="C145" s="3" t="s">
        <v>29</v>
      </c>
      <c r="D145" s="4" t="s">
        <v>33</v>
      </c>
      <c r="E145" s="4" t="s">
        <v>33</v>
      </c>
      <c r="F145" s="4" t="s">
        <v>33</v>
      </c>
      <c r="G145" s="6">
        <v>1</v>
      </c>
      <c r="H145" s="10">
        <v>15</v>
      </c>
      <c r="I145" s="6">
        <v>16</v>
      </c>
      <c r="J145" s="6">
        <v>4</v>
      </c>
      <c r="K145" s="6">
        <v>0</v>
      </c>
      <c r="L145" s="6">
        <v>0</v>
      </c>
      <c r="M145" s="4" t="s">
        <v>33</v>
      </c>
      <c r="N145" s="4" t="s">
        <v>33</v>
      </c>
      <c r="O145" s="4" t="s">
        <v>33</v>
      </c>
      <c r="P145" s="4" t="s">
        <v>33</v>
      </c>
      <c r="Q145" s="4" t="s">
        <v>33</v>
      </c>
      <c r="R145" s="4" t="s">
        <v>33</v>
      </c>
      <c r="S145" s="4" t="s">
        <v>33</v>
      </c>
      <c r="T145" s="4" t="s">
        <v>33</v>
      </c>
      <c r="U145" s="4" t="s">
        <v>33</v>
      </c>
      <c r="V145" s="4" t="s">
        <v>33</v>
      </c>
      <c r="W145" s="4" t="s">
        <v>33</v>
      </c>
      <c r="X145" s="4" t="s">
        <v>33</v>
      </c>
      <c r="Y145" s="4" t="s">
        <v>33</v>
      </c>
      <c r="Z145" s="4" t="s">
        <v>33</v>
      </c>
      <c r="AA145" s="4" t="s">
        <v>33</v>
      </c>
      <c r="AB145" s="4" t="s">
        <v>33</v>
      </c>
      <c r="AC145" s="4" t="s">
        <v>33</v>
      </c>
    </row>
    <row r="146" spans="1:29" ht="15.75" customHeight="1" x14ac:dyDescent="0.2">
      <c r="A146" s="3" t="s">
        <v>22</v>
      </c>
      <c r="B146" s="3" t="s">
        <v>5</v>
      </c>
      <c r="C146" s="3" t="s">
        <v>30</v>
      </c>
      <c r="D146" s="4" t="s">
        <v>33</v>
      </c>
      <c r="E146" s="4" t="s">
        <v>33</v>
      </c>
      <c r="F146" s="4" t="s">
        <v>33</v>
      </c>
      <c r="G146" s="6">
        <v>9</v>
      </c>
      <c r="H146" s="10">
        <v>17</v>
      </c>
      <c r="I146" s="6">
        <v>4</v>
      </c>
      <c r="J146" s="6">
        <v>2</v>
      </c>
      <c r="K146" s="6">
        <v>2</v>
      </c>
      <c r="L146" s="6">
        <v>1</v>
      </c>
      <c r="M146" s="4" t="s">
        <v>33</v>
      </c>
      <c r="N146" s="4" t="s">
        <v>33</v>
      </c>
      <c r="O146" s="4" t="s">
        <v>33</v>
      </c>
      <c r="P146" s="4" t="s">
        <v>33</v>
      </c>
      <c r="Q146" s="4" t="s">
        <v>33</v>
      </c>
      <c r="R146" s="4" t="s">
        <v>33</v>
      </c>
      <c r="S146" s="4" t="s">
        <v>33</v>
      </c>
      <c r="T146" s="4" t="s">
        <v>33</v>
      </c>
      <c r="U146" s="4" t="s">
        <v>33</v>
      </c>
      <c r="V146" s="4" t="s">
        <v>33</v>
      </c>
      <c r="W146" s="4" t="s">
        <v>33</v>
      </c>
      <c r="X146" s="4" t="s">
        <v>33</v>
      </c>
      <c r="Y146" s="4" t="s">
        <v>33</v>
      </c>
      <c r="Z146" s="4" t="s">
        <v>33</v>
      </c>
      <c r="AA146" s="4" t="s">
        <v>33</v>
      </c>
      <c r="AB146" s="4" t="s">
        <v>33</v>
      </c>
      <c r="AC146" s="4" t="s">
        <v>33</v>
      </c>
    </row>
    <row r="147" spans="1:29" ht="15.75" customHeight="1" x14ac:dyDescent="0.2">
      <c r="A147" s="3" t="s">
        <v>22</v>
      </c>
      <c r="B147" s="3" t="s">
        <v>6</v>
      </c>
      <c r="C147" s="3" t="s">
        <v>29</v>
      </c>
      <c r="D147" s="4" t="s">
        <v>33</v>
      </c>
      <c r="E147" s="4" t="s">
        <v>33</v>
      </c>
      <c r="F147" s="3">
        <v>0</v>
      </c>
      <c r="G147" s="6">
        <v>1</v>
      </c>
      <c r="H147" s="10">
        <v>14</v>
      </c>
      <c r="I147" s="6">
        <v>12</v>
      </c>
      <c r="J147" s="4" t="s">
        <v>33</v>
      </c>
      <c r="K147" s="6">
        <v>0</v>
      </c>
      <c r="L147" s="4" t="s">
        <v>33</v>
      </c>
      <c r="M147" s="4" t="s">
        <v>33</v>
      </c>
      <c r="N147" s="4" t="s">
        <v>33</v>
      </c>
      <c r="O147" s="4" t="s">
        <v>33</v>
      </c>
      <c r="P147" s="4" t="s">
        <v>33</v>
      </c>
      <c r="Q147" s="4" t="s">
        <v>33</v>
      </c>
      <c r="R147" s="4" t="s">
        <v>33</v>
      </c>
      <c r="S147" s="4" t="s">
        <v>33</v>
      </c>
      <c r="T147" s="4" t="s">
        <v>33</v>
      </c>
      <c r="U147" s="4" t="s">
        <v>33</v>
      </c>
      <c r="V147" s="4" t="s">
        <v>33</v>
      </c>
      <c r="W147" s="4" t="s">
        <v>33</v>
      </c>
      <c r="X147" s="4" t="s">
        <v>33</v>
      </c>
      <c r="Y147" s="4" t="s">
        <v>33</v>
      </c>
      <c r="Z147" s="4" t="s">
        <v>33</v>
      </c>
      <c r="AA147" s="4" t="s">
        <v>33</v>
      </c>
      <c r="AB147" s="4" t="s">
        <v>33</v>
      </c>
      <c r="AC147" s="4" t="s">
        <v>33</v>
      </c>
    </row>
    <row r="148" spans="1:29" ht="15.75" customHeight="1" x14ac:dyDescent="0.2">
      <c r="A148" s="3" t="s">
        <v>22</v>
      </c>
      <c r="B148" s="3" t="s">
        <v>6</v>
      </c>
      <c r="C148" s="3" t="s">
        <v>30</v>
      </c>
      <c r="D148" s="4" t="s">
        <v>33</v>
      </c>
      <c r="E148" s="4" t="s">
        <v>33</v>
      </c>
      <c r="F148" s="3">
        <v>1</v>
      </c>
      <c r="G148" s="6">
        <v>17</v>
      </c>
      <c r="H148" s="10">
        <v>12</v>
      </c>
      <c r="I148" s="6">
        <v>3</v>
      </c>
      <c r="J148" s="4" t="s">
        <v>33</v>
      </c>
      <c r="K148" s="6">
        <v>1</v>
      </c>
      <c r="L148" s="4" t="s">
        <v>33</v>
      </c>
      <c r="M148" s="4" t="s">
        <v>33</v>
      </c>
      <c r="N148" s="4" t="s">
        <v>33</v>
      </c>
      <c r="O148" s="4" t="s">
        <v>33</v>
      </c>
      <c r="P148" s="4" t="s">
        <v>33</v>
      </c>
      <c r="Q148" s="4" t="s">
        <v>33</v>
      </c>
      <c r="R148" s="4" t="s">
        <v>33</v>
      </c>
      <c r="S148" s="4" t="s">
        <v>33</v>
      </c>
      <c r="T148" s="4" t="s">
        <v>33</v>
      </c>
      <c r="U148" s="4" t="s">
        <v>33</v>
      </c>
      <c r="V148" s="4" t="s">
        <v>33</v>
      </c>
      <c r="W148" s="4" t="s">
        <v>33</v>
      </c>
      <c r="X148" s="4" t="s">
        <v>33</v>
      </c>
      <c r="Y148" s="4" t="s">
        <v>33</v>
      </c>
      <c r="Z148" s="4" t="s">
        <v>33</v>
      </c>
      <c r="AA148" s="4" t="s">
        <v>33</v>
      </c>
      <c r="AB148" s="4" t="s">
        <v>33</v>
      </c>
      <c r="AC148" s="4" t="s">
        <v>33</v>
      </c>
    </row>
    <row r="149" spans="1:29" ht="15.75" customHeight="1" x14ac:dyDescent="0.2">
      <c r="A149" s="3" t="s">
        <v>22</v>
      </c>
      <c r="B149" s="3" t="s">
        <v>7</v>
      </c>
      <c r="C149" s="3" t="s">
        <v>29</v>
      </c>
      <c r="D149" s="4" t="s">
        <v>33</v>
      </c>
      <c r="E149" s="4" t="s">
        <v>33</v>
      </c>
      <c r="F149" s="3">
        <v>0</v>
      </c>
      <c r="G149" s="6">
        <v>6</v>
      </c>
      <c r="H149" s="10">
        <v>14</v>
      </c>
      <c r="I149" s="6">
        <v>15</v>
      </c>
      <c r="J149" s="6">
        <v>3</v>
      </c>
      <c r="K149" s="6">
        <v>1</v>
      </c>
      <c r="L149" s="4" t="s">
        <v>33</v>
      </c>
      <c r="M149" s="4" t="s">
        <v>33</v>
      </c>
      <c r="N149" s="3">
        <v>2</v>
      </c>
      <c r="O149" s="4" t="s">
        <v>33</v>
      </c>
      <c r="P149" s="4" t="s">
        <v>33</v>
      </c>
      <c r="Q149" s="4" t="s">
        <v>33</v>
      </c>
      <c r="R149" s="4" t="s">
        <v>33</v>
      </c>
      <c r="S149" s="4" t="s">
        <v>33</v>
      </c>
      <c r="T149" s="4" t="s">
        <v>33</v>
      </c>
      <c r="U149" s="4" t="s">
        <v>33</v>
      </c>
      <c r="V149" s="4" t="s">
        <v>33</v>
      </c>
      <c r="W149" s="4" t="s">
        <v>33</v>
      </c>
      <c r="X149" s="4" t="s">
        <v>33</v>
      </c>
      <c r="Y149" s="4" t="s">
        <v>33</v>
      </c>
      <c r="Z149" s="4" t="s">
        <v>33</v>
      </c>
      <c r="AA149" s="4" t="s">
        <v>33</v>
      </c>
      <c r="AB149" s="4" t="s">
        <v>33</v>
      </c>
      <c r="AC149" s="4" t="s">
        <v>33</v>
      </c>
    </row>
    <row r="150" spans="1:29" ht="15.75" customHeight="1" x14ac:dyDescent="0.2">
      <c r="A150" s="3" t="s">
        <v>22</v>
      </c>
      <c r="B150" s="3" t="s">
        <v>7</v>
      </c>
      <c r="C150" s="3" t="s">
        <v>30</v>
      </c>
      <c r="D150" s="4" t="s">
        <v>33</v>
      </c>
      <c r="E150" s="4" t="s">
        <v>33</v>
      </c>
      <c r="F150" s="3">
        <v>3</v>
      </c>
      <c r="G150" s="6">
        <v>9</v>
      </c>
      <c r="H150" s="10">
        <v>16</v>
      </c>
      <c r="I150" s="6">
        <v>5</v>
      </c>
      <c r="J150" s="6">
        <v>0</v>
      </c>
      <c r="K150" s="6">
        <v>0</v>
      </c>
      <c r="L150" s="4" t="s">
        <v>33</v>
      </c>
      <c r="M150" s="4" t="s">
        <v>33</v>
      </c>
      <c r="N150" s="3">
        <v>1</v>
      </c>
      <c r="O150" s="4" t="s">
        <v>33</v>
      </c>
      <c r="P150" s="4" t="s">
        <v>33</v>
      </c>
      <c r="Q150" s="4" t="s">
        <v>33</v>
      </c>
      <c r="R150" s="4" t="s">
        <v>33</v>
      </c>
      <c r="S150" s="4" t="s">
        <v>33</v>
      </c>
      <c r="T150" s="4" t="s">
        <v>33</v>
      </c>
      <c r="U150" s="4" t="s">
        <v>33</v>
      </c>
      <c r="V150" s="4" t="s">
        <v>33</v>
      </c>
      <c r="W150" s="4" t="s">
        <v>33</v>
      </c>
      <c r="X150" s="4" t="s">
        <v>33</v>
      </c>
      <c r="Y150" s="4" t="s">
        <v>33</v>
      </c>
      <c r="Z150" s="4" t="s">
        <v>33</v>
      </c>
      <c r="AA150" s="4" t="s">
        <v>33</v>
      </c>
      <c r="AB150" s="4" t="s">
        <v>33</v>
      </c>
      <c r="AC150" s="4" t="s">
        <v>33</v>
      </c>
    </row>
    <row r="151" spans="1:29" ht="15.75" customHeight="1" x14ac:dyDescent="0.2">
      <c r="A151" s="3" t="s">
        <v>22</v>
      </c>
      <c r="B151" s="3" t="s">
        <v>8</v>
      </c>
      <c r="C151" s="3" t="s">
        <v>29</v>
      </c>
      <c r="D151" s="4" t="s">
        <v>33</v>
      </c>
      <c r="E151" s="4" t="s">
        <v>33</v>
      </c>
      <c r="F151" s="3">
        <v>0</v>
      </c>
      <c r="G151" s="6">
        <v>8</v>
      </c>
      <c r="H151" s="10">
        <v>17</v>
      </c>
      <c r="I151" s="6">
        <v>7</v>
      </c>
      <c r="J151" s="6">
        <v>2</v>
      </c>
      <c r="K151" s="4" t="s">
        <v>33</v>
      </c>
      <c r="L151" s="4" t="s">
        <v>33</v>
      </c>
      <c r="M151" s="4" t="s">
        <v>33</v>
      </c>
      <c r="N151" s="4" t="s">
        <v>33</v>
      </c>
      <c r="O151" s="4" t="s">
        <v>33</v>
      </c>
      <c r="P151" s="4" t="s">
        <v>33</v>
      </c>
      <c r="Q151" s="4" t="s">
        <v>33</v>
      </c>
      <c r="R151" s="6">
        <v>1</v>
      </c>
      <c r="S151" s="4" t="s">
        <v>33</v>
      </c>
      <c r="T151" s="4" t="s">
        <v>33</v>
      </c>
      <c r="U151" s="4" t="s">
        <v>33</v>
      </c>
      <c r="V151" s="4" t="s">
        <v>33</v>
      </c>
      <c r="W151" s="4" t="s">
        <v>33</v>
      </c>
      <c r="X151" s="4" t="s">
        <v>33</v>
      </c>
      <c r="Y151" s="4" t="s">
        <v>33</v>
      </c>
      <c r="Z151" s="4" t="s">
        <v>33</v>
      </c>
      <c r="AA151" s="4" t="s">
        <v>33</v>
      </c>
      <c r="AB151" s="4" t="s">
        <v>33</v>
      </c>
      <c r="AC151" s="4" t="s">
        <v>33</v>
      </c>
    </row>
    <row r="152" spans="1:29" ht="15.75" customHeight="1" x14ac:dyDescent="0.2">
      <c r="A152" s="3" t="s">
        <v>22</v>
      </c>
      <c r="B152" s="3" t="s">
        <v>8</v>
      </c>
      <c r="C152" s="3" t="s">
        <v>30</v>
      </c>
      <c r="D152" s="4" t="s">
        <v>33</v>
      </c>
      <c r="E152" s="4" t="s">
        <v>33</v>
      </c>
      <c r="F152" s="3">
        <v>1</v>
      </c>
      <c r="G152" s="6">
        <v>18</v>
      </c>
      <c r="H152" s="10">
        <v>15</v>
      </c>
      <c r="I152" s="6">
        <v>2</v>
      </c>
      <c r="J152" s="6">
        <v>0</v>
      </c>
      <c r="K152" s="4" t="s">
        <v>33</v>
      </c>
      <c r="L152" s="4" t="s">
        <v>33</v>
      </c>
      <c r="M152" s="4" t="s">
        <v>33</v>
      </c>
      <c r="N152" s="4" t="s">
        <v>33</v>
      </c>
      <c r="O152" s="4" t="s">
        <v>33</v>
      </c>
      <c r="P152" s="4" t="s">
        <v>33</v>
      </c>
      <c r="Q152" s="4" t="s">
        <v>33</v>
      </c>
      <c r="R152" s="6">
        <v>1</v>
      </c>
      <c r="S152" s="4" t="s">
        <v>33</v>
      </c>
      <c r="T152" s="4" t="s">
        <v>33</v>
      </c>
      <c r="U152" s="4" t="s">
        <v>33</v>
      </c>
      <c r="V152" s="4" t="s">
        <v>33</v>
      </c>
      <c r="W152" s="4" t="s">
        <v>33</v>
      </c>
      <c r="X152" s="4" t="s">
        <v>33</v>
      </c>
      <c r="Y152" s="4" t="s">
        <v>33</v>
      </c>
      <c r="Z152" s="4" t="s">
        <v>33</v>
      </c>
      <c r="AA152" s="4" t="s">
        <v>33</v>
      </c>
      <c r="AB152" s="4" t="s">
        <v>33</v>
      </c>
      <c r="AC152" s="4" t="s">
        <v>33</v>
      </c>
    </row>
    <row r="153" spans="1:29" ht="15.75" customHeight="1" x14ac:dyDescent="0.2">
      <c r="A153" s="3" t="s">
        <v>23</v>
      </c>
      <c r="B153" s="3" t="s">
        <v>4</v>
      </c>
      <c r="C153" s="3" t="s">
        <v>29</v>
      </c>
      <c r="D153" s="4" t="s">
        <v>33</v>
      </c>
      <c r="E153" s="4" t="s">
        <v>33</v>
      </c>
      <c r="F153" s="3">
        <v>0</v>
      </c>
      <c r="G153" s="6">
        <v>0</v>
      </c>
      <c r="H153" s="10">
        <v>2</v>
      </c>
      <c r="I153" s="6">
        <v>13</v>
      </c>
      <c r="J153" s="6">
        <v>13</v>
      </c>
      <c r="K153" s="6">
        <v>16</v>
      </c>
      <c r="L153" s="6">
        <v>5</v>
      </c>
      <c r="M153" s="4" t="s">
        <v>33</v>
      </c>
      <c r="N153" s="3">
        <v>1</v>
      </c>
      <c r="O153" s="4" t="s">
        <v>33</v>
      </c>
      <c r="P153" s="4" t="s">
        <v>33</v>
      </c>
      <c r="Q153" s="4" t="s">
        <v>33</v>
      </c>
      <c r="R153" s="4" t="s">
        <v>33</v>
      </c>
      <c r="S153" s="4" t="s">
        <v>33</v>
      </c>
      <c r="T153" s="4" t="s">
        <v>33</v>
      </c>
      <c r="U153" s="4" t="s">
        <v>33</v>
      </c>
      <c r="V153" s="4" t="s">
        <v>33</v>
      </c>
      <c r="W153" s="4" t="s">
        <v>33</v>
      </c>
      <c r="X153" s="4" t="s">
        <v>33</v>
      </c>
      <c r="Y153" s="4" t="s">
        <v>33</v>
      </c>
      <c r="Z153" s="4" t="s">
        <v>33</v>
      </c>
      <c r="AA153" s="4" t="s">
        <v>33</v>
      </c>
      <c r="AB153" s="4" t="s">
        <v>33</v>
      </c>
      <c r="AC153" s="4" t="s">
        <v>33</v>
      </c>
    </row>
    <row r="154" spans="1:29" ht="15.75" customHeight="1" x14ac:dyDescent="0.2">
      <c r="A154" s="3" t="s">
        <v>23</v>
      </c>
      <c r="B154" s="3" t="s">
        <v>4</v>
      </c>
      <c r="C154" s="3" t="s">
        <v>30</v>
      </c>
      <c r="D154" s="4" t="s">
        <v>33</v>
      </c>
      <c r="E154" s="4" t="s">
        <v>33</v>
      </c>
      <c r="F154" s="3">
        <v>1</v>
      </c>
      <c r="G154" s="6">
        <v>2</v>
      </c>
      <c r="H154" s="10">
        <v>9</v>
      </c>
      <c r="I154" s="6">
        <v>15</v>
      </c>
      <c r="J154" s="6">
        <v>7</v>
      </c>
      <c r="K154" s="6">
        <v>4</v>
      </c>
      <c r="L154" s="6">
        <v>2</v>
      </c>
      <c r="M154" s="4" t="s">
        <v>33</v>
      </c>
      <c r="N154" s="3">
        <v>1</v>
      </c>
      <c r="O154" s="4" t="s">
        <v>33</v>
      </c>
      <c r="P154" s="4" t="s">
        <v>33</v>
      </c>
      <c r="Q154" s="4" t="s">
        <v>33</v>
      </c>
      <c r="R154" s="4" t="s">
        <v>33</v>
      </c>
      <c r="S154" s="4" t="s">
        <v>33</v>
      </c>
      <c r="T154" s="4" t="s">
        <v>33</v>
      </c>
      <c r="U154" s="4" t="s">
        <v>33</v>
      </c>
      <c r="V154" s="4" t="s">
        <v>33</v>
      </c>
      <c r="W154" s="4" t="s">
        <v>33</v>
      </c>
      <c r="X154" s="4" t="s">
        <v>33</v>
      </c>
      <c r="Y154" s="4" t="s">
        <v>33</v>
      </c>
      <c r="Z154" s="4" t="s">
        <v>33</v>
      </c>
      <c r="AA154" s="4" t="s">
        <v>33</v>
      </c>
      <c r="AB154" s="4" t="s">
        <v>33</v>
      </c>
      <c r="AC154" s="4" t="s">
        <v>33</v>
      </c>
    </row>
    <row r="155" spans="1:29" ht="15.75" customHeight="1" x14ac:dyDescent="0.2">
      <c r="A155" s="3" t="s">
        <v>23</v>
      </c>
      <c r="B155" s="3" t="s">
        <v>5</v>
      </c>
      <c r="C155" s="3" t="s">
        <v>29</v>
      </c>
      <c r="D155" s="4" t="s">
        <v>33</v>
      </c>
      <c r="E155" s="4" t="s">
        <v>33</v>
      </c>
      <c r="F155" s="3">
        <v>0</v>
      </c>
      <c r="G155" s="6" t="s">
        <v>33</v>
      </c>
      <c r="H155" s="10">
        <v>2</v>
      </c>
      <c r="I155" s="6">
        <v>5</v>
      </c>
      <c r="J155" s="6">
        <v>8</v>
      </c>
      <c r="K155" s="6">
        <v>18</v>
      </c>
      <c r="L155" s="6">
        <v>6</v>
      </c>
      <c r="M155" s="3">
        <v>6</v>
      </c>
      <c r="N155" s="3">
        <v>1</v>
      </c>
      <c r="O155" s="6">
        <v>0</v>
      </c>
      <c r="P155" s="6">
        <v>1</v>
      </c>
      <c r="Q155" s="4" t="s">
        <v>33</v>
      </c>
      <c r="R155" s="4" t="s">
        <v>33</v>
      </c>
      <c r="S155" s="4" t="s">
        <v>33</v>
      </c>
      <c r="T155" s="4" t="s">
        <v>33</v>
      </c>
      <c r="U155" s="4" t="s">
        <v>33</v>
      </c>
      <c r="V155" s="4" t="s">
        <v>33</v>
      </c>
      <c r="W155" s="4" t="s">
        <v>33</v>
      </c>
      <c r="X155" s="4" t="s">
        <v>33</v>
      </c>
      <c r="Y155" s="4" t="s">
        <v>33</v>
      </c>
      <c r="Z155" s="4" t="s">
        <v>33</v>
      </c>
      <c r="AA155" s="4" t="s">
        <v>33</v>
      </c>
      <c r="AB155" s="4" t="s">
        <v>33</v>
      </c>
      <c r="AC155" s="4" t="s">
        <v>33</v>
      </c>
    </row>
    <row r="156" spans="1:29" ht="15.75" customHeight="1" x14ac:dyDescent="0.2">
      <c r="A156" s="3" t="s">
        <v>23</v>
      </c>
      <c r="B156" s="3" t="s">
        <v>5</v>
      </c>
      <c r="C156" s="3" t="s">
        <v>30</v>
      </c>
      <c r="D156" s="4" t="s">
        <v>33</v>
      </c>
      <c r="E156" s="4" t="s">
        <v>33</v>
      </c>
      <c r="F156" s="3">
        <v>1</v>
      </c>
      <c r="G156" s="6" t="s">
        <v>33</v>
      </c>
      <c r="H156" s="10">
        <v>7</v>
      </c>
      <c r="I156" s="6">
        <v>16</v>
      </c>
      <c r="J156" s="6">
        <v>11</v>
      </c>
      <c r="K156" s="6">
        <v>12</v>
      </c>
      <c r="L156" s="6">
        <v>7</v>
      </c>
      <c r="M156" s="3">
        <v>6</v>
      </c>
      <c r="N156" s="3">
        <v>0</v>
      </c>
      <c r="O156" s="6">
        <v>1</v>
      </c>
      <c r="P156" s="6">
        <v>0</v>
      </c>
      <c r="Q156" s="4" t="s">
        <v>33</v>
      </c>
      <c r="R156" s="4" t="s">
        <v>33</v>
      </c>
      <c r="S156" s="4" t="s">
        <v>33</v>
      </c>
      <c r="T156" s="4" t="s">
        <v>33</v>
      </c>
      <c r="U156" s="4" t="s">
        <v>33</v>
      </c>
      <c r="V156" s="4" t="s">
        <v>33</v>
      </c>
      <c r="W156" s="4" t="s">
        <v>33</v>
      </c>
      <c r="X156" s="4" t="s">
        <v>33</v>
      </c>
      <c r="Y156" s="4" t="s">
        <v>33</v>
      </c>
      <c r="Z156" s="4" t="s">
        <v>33</v>
      </c>
      <c r="AA156" s="4" t="s">
        <v>33</v>
      </c>
      <c r="AB156" s="4" t="s">
        <v>33</v>
      </c>
      <c r="AC156" s="4" t="s">
        <v>33</v>
      </c>
    </row>
    <row r="157" spans="1:29" ht="15.75" customHeight="1" x14ac:dyDescent="0.2">
      <c r="A157" s="3" t="s">
        <v>23</v>
      </c>
      <c r="B157" s="3" t="s">
        <v>6</v>
      </c>
      <c r="C157" s="3" t="s">
        <v>29</v>
      </c>
      <c r="D157" s="4" t="s">
        <v>33</v>
      </c>
      <c r="E157" s="4" t="s">
        <v>33</v>
      </c>
      <c r="F157" s="4" t="s">
        <v>33</v>
      </c>
      <c r="G157" s="6">
        <v>0</v>
      </c>
      <c r="H157" s="10">
        <v>3</v>
      </c>
      <c r="I157" s="6">
        <v>10</v>
      </c>
      <c r="J157" s="6">
        <v>18</v>
      </c>
      <c r="K157" s="6">
        <v>12</v>
      </c>
      <c r="L157" s="6">
        <v>3</v>
      </c>
      <c r="M157" s="4" t="s">
        <v>33</v>
      </c>
      <c r="N157" s="3">
        <v>2</v>
      </c>
      <c r="O157" s="4" t="s">
        <v>33</v>
      </c>
      <c r="P157" s="4" t="s">
        <v>33</v>
      </c>
      <c r="Q157" s="3">
        <v>1</v>
      </c>
      <c r="R157" s="4" t="s">
        <v>33</v>
      </c>
      <c r="S157" s="4" t="s">
        <v>33</v>
      </c>
      <c r="T157" s="4" t="s">
        <v>33</v>
      </c>
      <c r="U157" s="4" t="s">
        <v>33</v>
      </c>
      <c r="V157" s="4" t="s">
        <v>33</v>
      </c>
      <c r="W157" s="4" t="s">
        <v>33</v>
      </c>
      <c r="X157" s="4" t="s">
        <v>33</v>
      </c>
      <c r="Y157" s="4" t="s">
        <v>33</v>
      </c>
      <c r="Z157" s="4" t="s">
        <v>33</v>
      </c>
      <c r="AA157" s="4" t="s">
        <v>33</v>
      </c>
      <c r="AB157" s="4" t="s">
        <v>33</v>
      </c>
      <c r="AC157" s="4" t="s">
        <v>33</v>
      </c>
    </row>
    <row r="158" spans="1:29" ht="15.75" customHeight="1" x14ac:dyDescent="0.2">
      <c r="A158" s="3" t="s">
        <v>23</v>
      </c>
      <c r="B158" s="3" t="s">
        <v>6</v>
      </c>
      <c r="C158" s="3" t="s">
        <v>30</v>
      </c>
      <c r="D158" s="4" t="s">
        <v>33</v>
      </c>
      <c r="E158" s="4" t="s">
        <v>33</v>
      </c>
      <c r="F158" s="4" t="s">
        <v>33</v>
      </c>
      <c r="G158" s="6">
        <v>1</v>
      </c>
      <c r="H158" s="10">
        <v>7</v>
      </c>
      <c r="I158" s="6">
        <v>16</v>
      </c>
      <c r="J158" s="6">
        <v>9</v>
      </c>
      <c r="K158" s="6">
        <v>16</v>
      </c>
      <c r="L158" s="6">
        <v>3</v>
      </c>
      <c r="M158" s="4" t="s">
        <v>33</v>
      </c>
      <c r="N158" s="3">
        <v>4</v>
      </c>
      <c r="O158" s="4" t="s">
        <v>33</v>
      </c>
      <c r="P158" s="4" t="s">
        <v>33</v>
      </c>
      <c r="Q158" s="3">
        <v>1</v>
      </c>
      <c r="R158" s="4" t="s">
        <v>33</v>
      </c>
      <c r="S158" s="4" t="s">
        <v>33</v>
      </c>
      <c r="T158" s="4" t="s">
        <v>33</v>
      </c>
      <c r="U158" s="4" t="s">
        <v>33</v>
      </c>
      <c r="V158" s="4" t="s">
        <v>33</v>
      </c>
      <c r="W158" s="4" t="s">
        <v>33</v>
      </c>
      <c r="X158" s="4" t="s">
        <v>33</v>
      </c>
      <c r="Y158" s="4" t="s">
        <v>33</v>
      </c>
      <c r="Z158" s="4" t="s">
        <v>33</v>
      </c>
      <c r="AA158" s="4" t="s">
        <v>33</v>
      </c>
      <c r="AB158" s="4" t="s">
        <v>33</v>
      </c>
      <c r="AC158" s="4" t="s">
        <v>33</v>
      </c>
    </row>
    <row r="159" spans="1:29" ht="15.75" customHeight="1" x14ac:dyDescent="0.2">
      <c r="A159" s="3" t="s">
        <v>23</v>
      </c>
      <c r="B159" s="3" t="s">
        <v>7</v>
      </c>
      <c r="C159" s="3" t="s">
        <v>29</v>
      </c>
      <c r="D159" s="4" t="s">
        <v>33</v>
      </c>
      <c r="E159" s="4" t="s">
        <v>33</v>
      </c>
      <c r="F159" s="4" t="s">
        <v>33</v>
      </c>
      <c r="G159" s="6">
        <v>0</v>
      </c>
      <c r="H159" s="10">
        <v>4</v>
      </c>
      <c r="I159" s="6">
        <v>16</v>
      </c>
      <c r="J159" s="6">
        <v>14</v>
      </c>
      <c r="K159" s="6">
        <v>12</v>
      </c>
      <c r="L159" s="6">
        <v>1</v>
      </c>
      <c r="M159" s="4" t="s">
        <v>33</v>
      </c>
      <c r="N159" s="3">
        <v>1</v>
      </c>
      <c r="O159" s="4" t="s">
        <v>33</v>
      </c>
      <c r="P159" s="4" t="s">
        <v>33</v>
      </c>
      <c r="Q159" s="4" t="s">
        <v>33</v>
      </c>
      <c r="R159" s="4" t="s">
        <v>33</v>
      </c>
      <c r="S159" s="4" t="s">
        <v>33</v>
      </c>
      <c r="T159" s="4" t="s">
        <v>33</v>
      </c>
      <c r="U159" s="4" t="s">
        <v>33</v>
      </c>
      <c r="V159" s="4" t="s">
        <v>33</v>
      </c>
      <c r="W159" s="4" t="s">
        <v>33</v>
      </c>
      <c r="X159" s="4" t="s">
        <v>33</v>
      </c>
      <c r="Y159" s="4" t="s">
        <v>33</v>
      </c>
      <c r="Z159" s="4" t="s">
        <v>33</v>
      </c>
      <c r="AA159" s="4" t="s">
        <v>33</v>
      </c>
      <c r="AB159" s="4" t="s">
        <v>33</v>
      </c>
      <c r="AC159" s="4" t="s">
        <v>33</v>
      </c>
    </row>
    <row r="160" spans="1:29" ht="15.75" customHeight="1" x14ac:dyDescent="0.2">
      <c r="A160" s="3" t="s">
        <v>23</v>
      </c>
      <c r="B160" s="3" t="s">
        <v>7</v>
      </c>
      <c r="C160" s="3" t="s">
        <v>30</v>
      </c>
      <c r="D160" s="4" t="s">
        <v>33</v>
      </c>
      <c r="E160" s="4" t="s">
        <v>33</v>
      </c>
      <c r="F160" s="4" t="s">
        <v>33</v>
      </c>
      <c r="G160" s="6">
        <v>3</v>
      </c>
      <c r="H160" s="10">
        <v>9</v>
      </c>
      <c r="I160" s="6">
        <v>12</v>
      </c>
      <c r="J160" s="6">
        <v>8</v>
      </c>
      <c r="K160" s="6">
        <v>2</v>
      </c>
      <c r="L160" s="6">
        <v>0</v>
      </c>
      <c r="M160" s="4" t="s">
        <v>33</v>
      </c>
      <c r="N160" s="3">
        <v>1</v>
      </c>
      <c r="O160" s="4" t="s">
        <v>33</v>
      </c>
      <c r="P160" s="4" t="s">
        <v>33</v>
      </c>
      <c r="Q160" s="4" t="s">
        <v>33</v>
      </c>
      <c r="R160" s="4" t="s">
        <v>33</v>
      </c>
      <c r="S160" s="4" t="s">
        <v>33</v>
      </c>
      <c r="T160" s="4" t="s">
        <v>33</v>
      </c>
      <c r="U160" s="4" t="s">
        <v>33</v>
      </c>
      <c r="V160" s="4" t="s">
        <v>33</v>
      </c>
      <c r="W160" s="4" t="s">
        <v>33</v>
      </c>
      <c r="X160" s="4" t="s">
        <v>33</v>
      </c>
      <c r="Y160" s="4" t="s">
        <v>33</v>
      </c>
      <c r="Z160" s="4" t="s">
        <v>33</v>
      </c>
      <c r="AA160" s="4" t="s">
        <v>33</v>
      </c>
      <c r="AB160" s="4" t="s">
        <v>33</v>
      </c>
      <c r="AC160" s="4" t="s">
        <v>33</v>
      </c>
    </row>
    <row r="161" spans="1:29" ht="15.75" customHeight="1" x14ac:dyDescent="0.2">
      <c r="A161" s="3" t="s">
        <v>23</v>
      </c>
      <c r="B161" s="3" t="s">
        <v>8</v>
      </c>
      <c r="C161" s="3" t="s">
        <v>29</v>
      </c>
      <c r="D161" s="4" t="s">
        <v>33</v>
      </c>
      <c r="E161" s="4" t="s">
        <v>33</v>
      </c>
      <c r="F161" s="4" t="s">
        <v>33</v>
      </c>
      <c r="G161" s="6">
        <v>1</v>
      </c>
      <c r="H161" s="10">
        <v>6</v>
      </c>
      <c r="I161" s="6">
        <v>15</v>
      </c>
      <c r="J161" s="6">
        <v>15</v>
      </c>
      <c r="K161" s="6">
        <v>8</v>
      </c>
      <c r="L161" s="6">
        <v>2</v>
      </c>
      <c r="M161" s="4" t="s">
        <v>33</v>
      </c>
      <c r="N161" s="3">
        <v>1</v>
      </c>
      <c r="O161" s="4" t="s">
        <v>33</v>
      </c>
      <c r="P161" s="6">
        <v>0</v>
      </c>
      <c r="Q161" s="4" t="s">
        <v>33</v>
      </c>
      <c r="R161" s="4" t="s">
        <v>33</v>
      </c>
      <c r="S161" s="4" t="s">
        <v>33</v>
      </c>
      <c r="T161" s="4" t="s">
        <v>33</v>
      </c>
      <c r="U161" s="4" t="s">
        <v>33</v>
      </c>
      <c r="V161" s="4" t="s">
        <v>33</v>
      </c>
      <c r="W161" s="4" t="s">
        <v>33</v>
      </c>
      <c r="X161" s="4" t="s">
        <v>33</v>
      </c>
      <c r="Y161" s="4" t="s">
        <v>33</v>
      </c>
      <c r="Z161" s="4" t="s">
        <v>33</v>
      </c>
      <c r="AA161" s="4" t="s">
        <v>33</v>
      </c>
      <c r="AB161" s="4" t="s">
        <v>33</v>
      </c>
      <c r="AC161" s="4" t="s">
        <v>33</v>
      </c>
    </row>
    <row r="162" spans="1:29" ht="15.75" customHeight="1" x14ac:dyDescent="0.2">
      <c r="A162" s="3" t="s">
        <v>23</v>
      </c>
      <c r="B162" s="3" t="s">
        <v>8</v>
      </c>
      <c r="C162" s="3" t="s">
        <v>30</v>
      </c>
      <c r="D162" s="4" t="s">
        <v>33</v>
      </c>
      <c r="E162" s="4" t="s">
        <v>33</v>
      </c>
      <c r="F162" s="4" t="s">
        <v>33</v>
      </c>
      <c r="G162" s="6">
        <v>2</v>
      </c>
      <c r="H162" s="10">
        <v>16</v>
      </c>
      <c r="I162" s="6">
        <v>17</v>
      </c>
      <c r="J162" s="6">
        <v>0</v>
      </c>
      <c r="K162" s="6">
        <v>3</v>
      </c>
      <c r="L162" s="6">
        <v>0</v>
      </c>
      <c r="M162" s="4" t="s">
        <v>33</v>
      </c>
      <c r="N162" s="3">
        <v>0</v>
      </c>
      <c r="O162" s="4" t="s">
        <v>33</v>
      </c>
      <c r="P162" s="6">
        <v>1</v>
      </c>
      <c r="Q162" s="4" t="s">
        <v>33</v>
      </c>
      <c r="R162" s="4" t="s">
        <v>33</v>
      </c>
      <c r="S162" s="4" t="s">
        <v>33</v>
      </c>
      <c r="T162" s="4" t="s">
        <v>33</v>
      </c>
      <c r="U162" s="4" t="s">
        <v>33</v>
      </c>
      <c r="V162" s="4" t="s">
        <v>33</v>
      </c>
      <c r="W162" s="4" t="s">
        <v>33</v>
      </c>
      <c r="X162" s="4" t="s">
        <v>33</v>
      </c>
      <c r="Y162" s="4" t="s">
        <v>33</v>
      </c>
      <c r="Z162" s="4" t="s">
        <v>33</v>
      </c>
      <c r="AA162" s="4" t="s">
        <v>33</v>
      </c>
      <c r="AB162" s="4" t="s">
        <v>33</v>
      </c>
      <c r="AC162" s="4" t="s">
        <v>33</v>
      </c>
    </row>
    <row r="163" spans="1:29" ht="15.75" customHeight="1" x14ac:dyDescent="0.2">
      <c r="A163" s="3" t="s">
        <v>24</v>
      </c>
      <c r="B163" s="3" t="s">
        <v>4</v>
      </c>
      <c r="C163" s="3" t="s">
        <v>29</v>
      </c>
      <c r="D163" s="4" t="s">
        <v>33</v>
      </c>
      <c r="E163" s="4" t="s">
        <v>33</v>
      </c>
      <c r="F163" s="4" t="s">
        <v>33</v>
      </c>
      <c r="G163" s="6">
        <v>0</v>
      </c>
      <c r="H163" s="10">
        <v>4</v>
      </c>
      <c r="I163" s="6">
        <v>18</v>
      </c>
      <c r="J163" s="6">
        <v>17</v>
      </c>
      <c r="K163" s="6">
        <v>7</v>
      </c>
      <c r="L163" s="6">
        <v>2</v>
      </c>
      <c r="M163" s="3">
        <v>1</v>
      </c>
      <c r="N163" s="3">
        <v>1</v>
      </c>
      <c r="O163" s="4" t="s">
        <v>33</v>
      </c>
      <c r="P163" s="4" t="s">
        <v>33</v>
      </c>
      <c r="Q163" s="4" t="s">
        <v>33</v>
      </c>
      <c r="R163" s="4" t="s">
        <v>33</v>
      </c>
      <c r="S163" s="4" t="s">
        <v>33</v>
      </c>
      <c r="T163" s="4" t="s">
        <v>33</v>
      </c>
      <c r="U163" s="4" t="s">
        <v>33</v>
      </c>
      <c r="V163" s="4" t="s">
        <v>33</v>
      </c>
      <c r="W163" s="4" t="s">
        <v>33</v>
      </c>
      <c r="X163" s="4" t="s">
        <v>33</v>
      </c>
      <c r="Y163" s="4" t="s">
        <v>33</v>
      </c>
      <c r="Z163" s="4" t="s">
        <v>33</v>
      </c>
      <c r="AA163" s="4" t="s">
        <v>33</v>
      </c>
      <c r="AB163" s="4" t="s">
        <v>33</v>
      </c>
      <c r="AC163" s="4" t="s">
        <v>33</v>
      </c>
    </row>
    <row r="164" spans="1:29" ht="15.75" customHeight="1" x14ac:dyDescent="0.2">
      <c r="A164" s="3" t="s">
        <v>24</v>
      </c>
      <c r="B164" s="3" t="s">
        <v>4</v>
      </c>
      <c r="C164" s="3" t="s">
        <v>30</v>
      </c>
      <c r="D164" s="4" t="s">
        <v>33</v>
      </c>
      <c r="E164" s="4" t="s">
        <v>33</v>
      </c>
      <c r="F164" s="4" t="s">
        <v>33</v>
      </c>
      <c r="G164" s="6">
        <v>7</v>
      </c>
      <c r="H164" s="10">
        <v>8</v>
      </c>
      <c r="I164" s="6">
        <v>16</v>
      </c>
      <c r="J164" s="6">
        <v>7</v>
      </c>
      <c r="K164" s="6">
        <v>5</v>
      </c>
      <c r="L164" s="6">
        <v>0</v>
      </c>
      <c r="M164" s="3">
        <v>2</v>
      </c>
      <c r="N164" s="3">
        <v>2</v>
      </c>
      <c r="O164" s="4" t="s">
        <v>33</v>
      </c>
      <c r="P164" s="4" t="s">
        <v>33</v>
      </c>
      <c r="Q164" s="4" t="s">
        <v>33</v>
      </c>
      <c r="R164" s="4" t="s">
        <v>33</v>
      </c>
      <c r="S164" s="4" t="s">
        <v>33</v>
      </c>
      <c r="T164" s="4" t="s">
        <v>33</v>
      </c>
      <c r="U164" s="4" t="s">
        <v>33</v>
      </c>
      <c r="V164" s="4" t="s">
        <v>33</v>
      </c>
      <c r="W164" s="4" t="s">
        <v>33</v>
      </c>
      <c r="X164" s="4" t="s">
        <v>33</v>
      </c>
      <c r="Y164" s="4" t="s">
        <v>33</v>
      </c>
      <c r="Z164" s="4" t="s">
        <v>33</v>
      </c>
      <c r="AA164" s="4" t="s">
        <v>33</v>
      </c>
      <c r="AB164" s="4" t="s">
        <v>33</v>
      </c>
      <c r="AC164" s="4" t="s">
        <v>33</v>
      </c>
    </row>
    <row r="165" spans="1:29" ht="15.75" customHeight="1" x14ac:dyDescent="0.2">
      <c r="A165" s="3" t="s">
        <v>24</v>
      </c>
      <c r="B165" s="3" t="s">
        <v>5</v>
      </c>
      <c r="C165" s="3" t="s">
        <v>29</v>
      </c>
      <c r="D165" s="4" t="s">
        <v>33</v>
      </c>
      <c r="E165" s="4" t="s">
        <v>33</v>
      </c>
      <c r="F165" s="3">
        <v>0</v>
      </c>
      <c r="G165" s="6">
        <v>0</v>
      </c>
      <c r="H165" s="10">
        <v>3</v>
      </c>
      <c r="I165" s="6">
        <v>11</v>
      </c>
      <c r="J165" s="6">
        <v>12</v>
      </c>
      <c r="K165" s="6">
        <v>14</v>
      </c>
      <c r="L165" s="6">
        <v>4</v>
      </c>
      <c r="M165" s="2">
        <v>4</v>
      </c>
      <c r="N165" s="3">
        <v>3</v>
      </c>
      <c r="O165" s="6">
        <v>1</v>
      </c>
      <c r="P165" s="4" t="s">
        <v>33</v>
      </c>
      <c r="Q165" s="4" t="s">
        <v>33</v>
      </c>
      <c r="R165" s="6">
        <v>1</v>
      </c>
      <c r="S165" s="4" t="s">
        <v>33</v>
      </c>
      <c r="T165" s="2">
        <v>0</v>
      </c>
      <c r="U165" s="4" t="s">
        <v>33</v>
      </c>
      <c r="V165" s="4" t="s">
        <v>33</v>
      </c>
      <c r="W165" s="4" t="s">
        <v>33</v>
      </c>
      <c r="X165" s="4" t="s">
        <v>33</v>
      </c>
      <c r="Y165" s="4" t="s">
        <v>33</v>
      </c>
      <c r="Z165" s="4" t="s">
        <v>33</v>
      </c>
      <c r="AA165" s="4" t="s">
        <v>33</v>
      </c>
      <c r="AB165" s="4" t="s">
        <v>33</v>
      </c>
      <c r="AC165" s="4" t="s">
        <v>33</v>
      </c>
    </row>
    <row r="166" spans="1:29" ht="15.75" customHeight="1" x14ac:dyDescent="0.2">
      <c r="A166" s="3" t="s">
        <v>24</v>
      </c>
      <c r="B166" s="3" t="s">
        <v>5</v>
      </c>
      <c r="C166" s="3" t="s">
        <v>30</v>
      </c>
      <c r="D166" s="4" t="s">
        <v>33</v>
      </c>
      <c r="E166" s="4" t="s">
        <v>33</v>
      </c>
      <c r="F166" s="3">
        <v>1</v>
      </c>
      <c r="G166" s="6">
        <v>1</v>
      </c>
      <c r="H166" s="10">
        <v>4</v>
      </c>
      <c r="I166" s="6">
        <v>18</v>
      </c>
      <c r="J166" s="6">
        <v>11</v>
      </c>
      <c r="K166" s="6">
        <v>11</v>
      </c>
      <c r="L166" s="6">
        <v>3</v>
      </c>
      <c r="M166" s="2">
        <v>2</v>
      </c>
      <c r="N166" s="3">
        <v>0</v>
      </c>
      <c r="O166" s="6">
        <v>1</v>
      </c>
      <c r="P166" s="4" t="s">
        <v>33</v>
      </c>
      <c r="Q166" s="4" t="s">
        <v>33</v>
      </c>
      <c r="R166" s="6">
        <v>0</v>
      </c>
      <c r="S166" s="4" t="s">
        <v>33</v>
      </c>
      <c r="T166" s="2">
        <v>1</v>
      </c>
      <c r="U166" s="4" t="s">
        <v>33</v>
      </c>
      <c r="V166" s="4" t="s">
        <v>33</v>
      </c>
      <c r="W166" s="4" t="s">
        <v>33</v>
      </c>
      <c r="X166" s="4" t="s">
        <v>33</v>
      </c>
      <c r="Y166" s="4" t="s">
        <v>33</v>
      </c>
      <c r="Z166" s="4" t="s">
        <v>33</v>
      </c>
      <c r="AA166" s="4" t="s">
        <v>33</v>
      </c>
      <c r="AB166" s="4" t="s">
        <v>33</v>
      </c>
      <c r="AC166" s="4" t="s">
        <v>33</v>
      </c>
    </row>
    <row r="167" spans="1:29" ht="15.75" customHeight="1" x14ac:dyDescent="0.2">
      <c r="A167" s="3" t="s">
        <v>24</v>
      </c>
      <c r="B167" s="3" t="s">
        <v>6</v>
      </c>
      <c r="C167" s="3" t="s">
        <v>29</v>
      </c>
      <c r="D167" s="4" t="s">
        <v>33</v>
      </c>
      <c r="E167" s="4" t="s">
        <v>33</v>
      </c>
      <c r="F167" s="4" t="s">
        <v>33</v>
      </c>
      <c r="G167" s="6">
        <v>1</v>
      </c>
      <c r="H167" s="10">
        <v>1</v>
      </c>
      <c r="I167" s="6">
        <v>14</v>
      </c>
      <c r="J167" s="6">
        <v>4</v>
      </c>
      <c r="K167" s="6">
        <v>17</v>
      </c>
      <c r="L167" s="6">
        <v>0</v>
      </c>
      <c r="M167" s="3">
        <v>1</v>
      </c>
      <c r="N167" s="3">
        <v>1</v>
      </c>
      <c r="O167" s="6">
        <v>0</v>
      </c>
      <c r="P167" s="4" t="s">
        <v>33</v>
      </c>
      <c r="Q167" s="4" t="s">
        <v>33</v>
      </c>
      <c r="R167" s="4" t="s">
        <v>33</v>
      </c>
      <c r="S167" s="4" t="s">
        <v>33</v>
      </c>
      <c r="T167" s="4" t="s">
        <v>33</v>
      </c>
      <c r="U167" s="4" t="s">
        <v>33</v>
      </c>
      <c r="V167" s="4" t="s">
        <v>33</v>
      </c>
      <c r="W167" s="4" t="s">
        <v>33</v>
      </c>
      <c r="X167" s="4" t="s">
        <v>33</v>
      </c>
      <c r="Y167" s="4" t="s">
        <v>33</v>
      </c>
      <c r="Z167" s="4" t="s">
        <v>33</v>
      </c>
      <c r="AA167" s="4" t="s">
        <v>33</v>
      </c>
      <c r="AB167" s="4" t="s">
        <v>33</v>
      </c>
      <c r="AC167" s="4" t="s">
        <v>33</v>
      </c>
    </row>
    <row r="168" spans="1:29" ht="15.75" customHeight="1" x14ac:dyDescent="0.2">
      <c r="A168" s="3" t="s">
        <v>24</v>
      </c>
      <c r="B168" s="3" t="s">
        <v>6</v>
      </c>
      <c r="C168" s="3" t="s">
        <v>30</v>
      </c>
      <c r="D168" s="4" t="s">
        <v>33</v>
      </c>
      <c r="E168" s="4" t="s">
        <v>33</v>
      </c>
      <c r="F168" s="4" t="s">
        <v>33</v>
      </c>
      <c r="G168" s="6">
        <v>3</v>
      </c>
      <c r="H168" s="10">
        <v>15</v>
      </c>
      <c r="I168" s="6">
        <v>12</v>
      </c>
      <c r="J168" s="6">
        <v>6</v>
      </c>
      <c r="K168" s="6">
        <v>4</v>
      </c>
      <c r="L168" s="6">
        <v>1</v>
      </c>
      <c r="M168" s="3">
        <v>1</v>
      </c>
      <c r="N168" s="3">
        <v>0</v>
      </c>
      <c r="O168" s="6">
        <v>1</v>
      </c>
      <c r="P168" s="4" t="s">
        <v>33</v>
      </c>
      <c r="Q168" s="4" t="s">
        <v>33</v>
      </c>
      <c r="R168" s="4" t="s">
        <v>33</v>
      </c>
      <c r="S168" s="4" t="s">
        <v>33</v>
      </c>
      <c r="T168" s="4" t="s">
        <v>33</v>
      </c>
      <c r="U168" s="4" t="s">
        <v>33</v>
      </c>
      <c r="V168" s="4" t="s">
        <v>33</v>
      </c>
      <c r="W168" s="4" t="s">
        <v>33</v>
      </c>
      <c r="X168" s="4" t="s">
        <v>33</v>
      </c>
      <c r="Y168" s="4" t="s">
        <v>33</v>
      </c>
      <c r="Z168" s="4" t="s">
        <v>33</v>
      </c>
      <c r="AA168" s="4" t="s">
        <v>33</v>
      </c>
      <c r="AB168" s="4" t="s">
        <v>33</v>
      </c>
      <c r="AC168" s="4" t="s">
        <v>33</v>
      </c>
    </row>
    <row r="169" spans="1:29" ht="15.75" customHeight="1" x14ac:dyDescent="0.2">
      <c r="A169" s="3" t="s">
        <v>24</v>
      </c>
      <c r="B169" s="3" t="s">
        <v>7</v>
      </c>
      <c r="C169" s="3" t="s">
        <v>29</v>
      </c>
      <c r="D169" s="4" t="s">
        <v>33</v>
      </c>
      <c r="E169" s="4" t="s">
        <v>33</v>
      </c>
      <c r="F169" s="4" t="s">
        <v>33</v>
      </c>
      <c r="G169" s="6">
        <v>2</v>
      </c>
      <c r="H169" s="10">
        <v>2</v>
      </c>
      <c r="I169" s="6">
        <v>12</v>
      </c>
      <c r="J169" s="10">
        <v>14</v>
      </c>
      <c r="K169" s="10">
        <v>17</v>
      </c>
      <c r="L169" s="10">
        <v>5</v>
      </c>
      <c r="M169" s="3">
        <v>4</v>
      </c>
      <c r="N169" s="4" t="s">
        <v>33</v>
      </c>
      <c r="O169" s="4" t="s">
        <v>33</v>
      </c>
      <c r="P169" s="4" t="s">
        <v>33</v>
      </c>
      <c r="Q169" s="4" t="s">
        <v>33</v>
      </c>
      <c r="R169" s="4" t="s">
        <v>33</v>
      </c>
      <c r="S169" s="4" t="s">
        <v>33</v>
      </c>
      <c r="T169" s="4" t="s">
        <v>33</v>
      </c>
      <c r="U169" s="4" t="s">
        <v>33</v>
      </c>
      <c r="V169" s="4" t="s">
        <v>33</v>
      </c>
      <c r="W169" s="4" t="s">
        <v>33</v>
      </c>
      <c r="X169" s="4" t="s">
        <v>33</v>
      </c>
      <c r="Y169" s="4" t="s">
        <v>33</v>
      </c>
      <c r="Z169" s="4" t="s">
        <v>33</v>
      </c>
      <c r="AA169" s="4" t="s">
        <v>33</v>
      </c>
      <c r="AB169" s="4" t="s">
        <v>33</v>
      </c>
      <c r="AC169" s="4" t="s">
        <v>33</v>
      </c>
    </row>
    <row r="170" spans="1:29" ht="15.75" customHeight="1" x14ac:dyDescent="0.2">
      <c r="A170" s="3" t="s">
        <v>24</v>
      </c>
      <c r="B170" s="3" t="s">
        <v>7</v>
      </c>
      <c r="C170" s="3" t="s">
        <v>30</v>
      </c>
      <c r="D170" s="4" t="s">
        <v>33</v>
      </c>
      <c r="E170" s="4" t="s">
        <v>33</v>
      </c>
      <c r="F170" s="4" t="s">
        <v>33</v>
      </c>
      <c r="G170" s="6">
        <v>3</v>
      </c>
      <c r="H170" s="10">
        <v>11</v>
      </c>
      <c r="I170" s="6">
        <v>15</v>
      </c>
      <c r="J170" s="10">
        <v>8</v>
      </c>
      <c r="K170" s="10">
        <v>3</v>
      </c>
      <c r="L170" s="10">
        <v>0</v>
      </c>
      <c r="M170" s="3">
        <v>1</v>
      </c>
      <c r="N170" s="4" t="s">
        <v>33</v>
      </c>
      <c r="O170" s="4" t="s">
        <v>33</v>
      </c>
      <c r="P170" s="4" t="s">
        <v>33</v>
      </c>
      <c r="Q170" s="4" t="s">
        <v>33</v>
      </c>
      <c r="R170" s="4" t="s">
        <v>33</v>
      </c>
      <c r="S170" s="4" t="s">
        <v>33</v>
      </c>
      <c r="T170" s="4" t="s">
        <v>33</v>
      </c>
      <c r="U170" s="4" t="s">
        <v>33</v>
      </c>
      <c r="V170" s="4" t="s">
        <v>33</v>
      </c>
      <c r="W170" s="4" t="s">
        <v>33</v>
      </c>
      <c r="X170" s="4" t="s">
        <v>33</v>
      </c>
      <c r="Y170" s="4" t="s">
        <v>33</v>
      </c>
      <c r="Z170" s="4" t="s">
        <v>33</v>
      </c>
      <c r="AA170" s="4" t="s">
        <v>33</v>
      </c>
      <c r="AB170" s="4" t="s">
        <v>33</v>
      </c>
      <c r="AC170" s="4" t="s">
        <v>33</v>
      </c>
    </row>
    <row r="171" spans="1:29" ht="15.75" customHeight="1" x14ac:dyDescent="0.2">
      <c r="A171" s="3" t="s">
        <v>24</v>
      </c>
      <c r="B171" s="3" t="s">
        <v>8</v>
      </c>
      <c r="C171" s="3" t="s">
        <v>29</v>
      </c>
      <c r="D171" s="4" t="s">
        <v>33</v>
      </c>
      <c r="E171" s="4" t="s">
        <v>33</v>
      </c>
      <c r="F171" s="4" t="s">
        <v>33</v>
      </c>
      <c r="G171" s="6">
        <v>0</v>
      </c>
      <c r="H171" s="10">
        <v>9</v>
      </c>
      <c r="I171" s="6">
        <v>11</v>
      </c>
      <c r="J171" s="6">
        <v>10</v>
      </c>
      <c r="K171" s="6">
        <v>9</v>
      </c>
      <c r="L171" s="6">
        <v>0</v>
      </c>
      <c r="M171" s="4" t="s">
        <v>33</v>
      </c>
      <c r="N171" s="4" t="s">
        <v>33</v>
      </c>
      <c r="O171" s="6">
        <v>1</v>
      </c>
      <c r="P171" s="4" t="s">
        <v>33</v>
      </c>
      <c r="Q171" s="4" t="s">
        <v>33</v>
      </c>
      <c r="R171" s="4" t="s">
        <v>33</v>
      </c>
      <c r="S171" s="4" t="s">
        <v>33</v>
      </c>
      <c r="T171" s="4" t="s">
        <v>33</v>
      </c>
      <c r="U171" s="4" t="s">
        <v>33</v>
      </c>
      <c r="V171" s="4" t="s">
        <v>33</v>
      </c>
      <c r="W171" s="4" t="s">
        <v>33</v>
      </c>
      <c r="X171" s="4" t="s">
        <v>33</v>
      </c>
      <c r="Y171" s="4" t="s">
        <v>33</v>
      </c>
      <c r="Z171" s="4" t="s">
        <v>33</v>
      </c>
      <c r="AA171" s="4" t="s">
        <v>33</v>
      </c>
      <c r="AB171" s="4" t="s">
        <v>33</v>
      </c>
      <c r="AC171" s="4" t="s">
        <v>33</v>
      </c>
    </row>
    <row r="172" spans="1:29" ht="15.75" customHeight="1" x14ac:dyDescent="0.2">
      <c r="A172" s="3" t="s">
        <v>24</v>
      </c>
      <c r="B172" s="3" t="s">
        <v>8</v>
      </c>
      <c r="C172" s="3" t="s">
        <v>30</v>
      </c>
      <c r="D172" s="4" t="s">
        <v>33</v>
      </c>
      <c r="E172" s="4" t="s">
        <v>33</v>
      </c>
      <c r="F172" s="4" t="s">
        <v>33</v>
      </c>
      <c r="G172" s="6">
        <v>4</v>
      </c>
      <c r="H172" s="10">
        <v>14</v>
      </c>
      <c r="I172" s="6">
        <v>16</v>
      </c>
      <c r="J172" s="6">
        <v>7</v>
      </c>
      <c r="K172" s="6">
        <v>4</v>
      </c>
      <c r="L172" s="6">
        <v>1</v>
      </c>
      <c r="M172" s="4" t="s">
        <v>33</v>
      </c>
      <c r="N172" s="4" t="s">
        <v>33</v>
      </c>
      <c r="O172" s="6">
        <v>0</v>
      </c>
      <c r="P172" s="4" t="s">
        <v>33</v>
      </c>
      <c r="Q172" s="4" t="s">
        <v>33</v>
      </c>
      <c r="R172" s="4" t="s">
        <v>33</v>
      </c>
      <c r="S172" s="4" t="s">
        <v>33</v>
      </c>
      <c r="T172" s="4" t="s">
        <v>33</v>
      </c>
      <c r="U172" s="4" t="s">
        <v>33</v>
      </c>
      <c r="V172" s="4" t="s">
        <v>33</v>
      </c>
      <c r="W172" s="4" t="s">
        <v>33</v>
      </c>
      <c r="X172" s="4" t="s">
        <v>33</v>
      </c>
      <c r="Y172" s="4" t="s">
        <v>33</v>
      </c>
      <c r="Z172" s="4" t="s">
        <v>33</v>
      </c>
      <c r="AA172" s="4" t="s">
        <v>33</v>
      </c>
      <c r="AB172" s="4" t="s">
        <v>33</v>
      </c>
      <c r="AC172" s="4" t="s">
        <v>33</v>
      </c>
    </row>
    <row r="173" spans="1:29" ht="15.75" customHeight="1" x14ac:dyDescent="0.2">
      <c r="A173" s="3" t="s">
        <v>25</v>
      </c>
      <c r="B173" s="3" t="s">
        <v>4</v>
      </c>
      <c r="C173" s="3" t="s">
        <v>29</v>
      </c>
      <c r="D173" s="4" t="s">
        <v>33</v>
      </c>
      <c r="E173" s="4" t="s">
        <v>33</v>
      </c>
      <c r="F173" s="4" t="s">
        <v>33</v>
      </c>
      <c r="G173" s="6" t="s">
        <v>33</v>
      </c>
      <c r="H173" s="10">
        <v>0</v>
      </c>
      <c r="I173" s="6">
        <v>2</v>
      </c>
      <c r="J173" s="6">
        <v>8</v>
      </c>
      <c r="K173" s="6">
        <v>23</v>
      </c>
      <c r="L173" s="6">
        <v>11</v>
      </c>
      <c r="M173" s="3">
        <v>3</v>
      </c>
      <c r="N173" s="3">
        <v>4</v>
      </c>
      <c r="O173" s="6">
        <v>6</v>
      </c>
      <c r="P173" s="6">
        <v>3</v>
      </c>
      <c r="Q173" s="4" t="s">
        <v>33</v>
      </c>
      <c r="R173" s="4" t="s">
        <v>33</v>
      </c>
      <c r="S173" s="4" t="s">
        <v>33</v>
      </c>
      <c r="T173" s="4" t="s">
        <v>33</v>
      </c>
      <c r="U173" s="4" t="s">
        <v>33</v>
      </c>
      <c r="V173" s="4" t="s">
        <v>33</v>
      </c>
      <c r="W173" s="4" t="s">
        <v>33</v>
      </c>
      <c r="X173" s="4" t="s">
        <v>33</v>
      </c>
      <c r="Y173" s="4" t="s">
        <v>33</v>
      </c>
      <c r="Z173" s="4" t="s">
        <v>33</v>
      </c>
      <c r="AA173" s="4" t="s">
        <v>33</v>
      </c>
      <c r="AB173" s="4" t="s">
        <v>33</v>
      </c>
      <c r="AC173" s="4" t="s">
        <v>33</v>
      </c>
    </row>
    <row r="174" spans="1:29" ht="15.75" customHeight="1" x14ac:dyDescent="0.2">
      <c r="A174" s="3" t="s">
        <v>25</v>
      </c>
      <c r="B174" s="3" t="s">
        <v>4</v>
      </c>
      <c r="C174" s="3" t="s">
        <v>30</v>
      </c>
      <c r="D174" s="4" t="s">
        <v>33</v>
      </c>
      <c r="E174" s="4" t="s">
        <v>33</v>
      </c>
      <c r="F174" s="4" t="s">
        <v>33</v>
      </c>
      <c r="G174" s="6" t="s">
        <v>33</v>
      </c>
      <c r="H174" s="10">
        <v>4</v>
      </c>
      <c r="I174" s="6">
        <v>6</v>
      </c>
      <c r="J174" s="6">
        <v>6</v>
      </c>
      <c r="K174" s="6">
        <v>14</v>
      </c>
      <c r="L174" s="6">
        <v>15</v>
      </c>
      <c r="M174" s="3">
        <v>6</v>
      </c>
      <c r="N174" s="3">
        <v>2</v>
      </c>
      <c r="O174" s="6">
        <v>3</v>
      </c>
      <c r="P174" s="6">
        <v>0</v>
      </c>
      <c r="Q174" s="4" t="s">
        <v>33</v>
      </c>
      <c r="R174" s="4" t="s">
        <v>33</v>
      </c>
      <c r="S174" s="4" t="s">
        <v>33</v>
      </c>
      <c r="T174" s="4" t="s">
        <v>33</v>
      </c>
      <c r="U174" s="4" t="s">
        <v>33</v>
      </c>
      <c r="V174" s="4" t="s">
        <v>33</v>
      </c>
      <c r="W174" s="4" t="s">
        <v>33</v>
      </c>
      <c r="X174" s="4" t="s">
        <v>33</v>
      </c>
      <c r="Y174" s="4" t="s">
        <v>33</v>
      </c>
      <c r="Z174" s="4" t="s">
        <v>33</v>
      </c>
      <c r="AA174" s="4" t="s">
        <v>33</v>
      </c>
      <c r="AB174" s="4" t="s">
        <v>33</v>
      </c>
      <c r="AC174" s="4" t="s">
        <v>33</v>
      </c>
    </row>
    <row r="175" spans="1:29" ht="15.75" customHeight="1" x14ac:dyDescent="0.2">
      <c r="A175" s="3" t="s">
        <v>25</v>
      </c>
      <c r="B175" s="3" t="s">
        <v>5</v>
      </c>
      <c r="C175" s="3" t="s">
        <v>29</v>
      </c>
      <c r="D175" s="4" t="s">
        <v>33</v>
      </c>
      <c r="E175" s="4" t="s">
        <v>33</v>
      </c>
      <c r="F175" s="4" t="s">
        <v>33</v>
      </c>
      <c r="G175" s="6">
        <v>0</v>
      </c>
      <c r="H175" s="10">
        <v>0</v>
      </c>
      <c r="I175" s="6">
        <v>6</v>
      </c>
      <c r="J175" s="6">
        <v>13</v>
      </c>
      <c r="K175" s="6">
        <v>18</v>
      </c>
      <c r="L175" s="6">
        <v>7</v>
      </c>
      <c r="M175" s="3">
        <v>5</v>
      </c>
      <c r="N175" s="4" t="s">
        <v>33</v>
      </c>
      <c r="O175" s="6">
        <v>1</v>
      </c>
      <c r="P175" s="4" t="s">
        <v>33</v>
      </c>
      <c r="Q175" s="4" t="s">
        <v>33</v>
      </c>
      <c r="R175" s="4" t="s">
        <v>33</v>
      </c>
      <c r="S175" s="4" t="s">
        <v>33</v>
      </c>
      <c r="T175" s="4" t="s">
        <v>33</v>
      </c>
      <c r="U175" s="4" t="s">
        <v>33</v>
      </c>
      <c r="V175" s="4" t="s">
        <v>33</v>
      </c>
      <c r="W175" s="4" t="s">
        <v>33</v>
      </c>
      <c r="X175" s="4" t="s">
        <v>33</v>
      </c>
      <c r="Y175" s="4" t="s">
        <v>33</v>
      </c>
      <c r="Z175" s="4" t="s">
        <v>33</v>
      </c>
      <c r="AA175" s="4" t="s">
        <v>33</v>
      </c>
      <c r="AB175" s="4" t="s">
        <v>33</v>
      </c>
      <c r="AC175" s="4" t="s">
        <v>33</v>
      </c>
    </row>
    <row r="176" spans="1:29" ht="15.75" customHeight="1" x14ac:dyDescent="0.2">
      <c r="A176" s="3" t="s">
        <v>25</v>
      </c>
      <c r="B176" s="3" t="s">
        <v>5</v>
      </c>
      <c r="C176" s="3" t="s">
        <v>30</v>
      </c>
      <c r="D176" s="4" t="s">
        <v>33</v>
      </c>
      <c r="E176" s="4" t="s">
        <v>33</v>
      </c>
      <c r="F176" s="4" t="s">
        <v>33</v>
      </c>
      <c r="G176" s="6">
        <v>1</v>
      </c>
      <c r="H176" s="10">
        <v>6</v>
      </c>
      <c r="I176" s="6">
        <v>14</v>
      </c>
      <c r="J176" s="6">
        <v>4</v>
      </c>
      <c r="K176" s="6">
        <v>12</v>
      </c>
      <c r="L176" s="6">
        <v>4</v>
      </c>
      <c r="M176" s="3">
        <v>1</v>
      </c>
      <c r="N176" s="4" t="s">
        <v>33</v>
      </c>
      <c r="O176" s="6">
        <v>0</v>
      </c>
      <c r="P176" s="4" t="s">
        <v>33</v>
      </c>
      <c r="Q176" s="4" t="s">
        <v>33</v>
      </c>
      <c r="R176" s="4" t="s">
        <v>33</v>
      </c>
      <c r="S176" s="4" t="s">
        <v>33</v>
      </c>
      <c r="T176" s="4" t="s">
        <v>33</v>
      </c>
      <c r="U176" s="4" t="s">
        <v>33</v>
      </c>
      <c r="V176" s="4" t="s">
        <v>33</v>
      </c>
      <c r="W176" s="4" t="s">
        <v>33</v>
      </c>
      <c r="X176" s="4" t="s">
        <v>33</v>
      </c>
      <c r="Y176" s="4" t="s">
        <v>33</v>
      </c>
      <c r="Z176" s="4" t="s">
        <v>33</v>
      </c>
      <c r="AA176" s="4" t="s">
        <v>33</v>
      </c>
      <c r="AB176" s="4" t="s">
        <v>33</v>
      </c>
      <c r="AC176" s="4" t="s">
        <v>33</v>
      </c>
    </row>
    <row r="177" spans="1:29" ht="15.75" customHeight="1" x14ac:dyDescent="0.2">
      <c r="A177" s="3" t="s">
        <v>25</v>
      </c>
      <c r="B177" s="3" t="s">
        <v>6</v>
      </c>
      <c r="C177" s="3" t="s">
        <v>29</v>
      </c>
      <c r="D177" s="4" t="s">
        <v>33</v>
      </c>
      <c r="E177" s="4" t="s">
        <v>33</v>
      </c>
      <c r="F177" s="4" t="s">
        <v>33</v>
      </c>
      <c r="G177" s="6" t="s">
        <v>33</v>
      </c>
      <c r="H177" s="10">
        <v>0</v>
      </c>
      <c r="I177" s="6">
        <v>8</v>
      </c>
      <c r="J177" s="6">
        <v>8</v>
      </c>
      <c r="K177" s="6">
        <v>17</v>
      </c>
      <c r="L177" s="6">
        <v>6</v>
      </c>
      <c r="M177" s="3">
        <v>6</v>
      </c>
      <c r="N177" s="4" t="s">
        <v>33</v>
      </c>
      <c r="O177" s="6">
        <v>0</v>
      </c>
      <c r="P177" s="4" t="s">
        <v>33</v>
      </c>
      <c r="Q177" s="4" t="s">
        <v>33</v>
      </c>
      <c r="R177" s="4" t="s">
        <v>33</v>
      </c>
      <c r="S177" s="6">
        <v>0</v>
      </c>
      <c r="T177" s="4" t="s">
        <v>33</v>
      </c>
      <c r="U177" s="4" t="s">
        <v>33</v>
      </c>
      <c r="V177" s="4" t="s">
        <v>33</v>
      </c>
      <c r="W177" s="4" t="s">
        <v>33</v>
      </c>
      <c r="X177" s="4" t="s">
        <v>33</v>
      </c>
      <c r="Y177" s="4" t="s">
        <v>33</v>
      </c>
      <c r="Z177" s="4" t="s">
        <v>33</v>
      </c>
      <c r="AA177" s="4" t="s">
        <v>33</v>
      </c>
      <c r="AB177" s="4" t="s">
        <v>33</v>
      </c>
      <c r="AC177" s="4" t="s">
        <v>33</v>
      </c>
    </row>
    <row r="178" spans="1:29" ht="15.75" customHeight="1" x14ac:dyDescent="0.2">
      <c r="A178" s="3" t="s">
        <v>25</v>
      </c>
      <c r="B178" s="3" t="s">
        <v>6</v>
      </c>
      <c r="C178" s="3" t="s">
        <v>30</v>
      </c>
      <c r="D178" s="4" t="s">
        <v>33</v>
      </c>
      <c r="E178" s="4" t="s">
        <v>33</v>
      </c>
      <c r="F178" s="4" t="s">
        <v>33</v>
      </c>
      <c r="G178" s="6" t="s">
        <v>33</v>
      </c>
      <c r="H178" s="10">
        <v>5</v>
      </c>
      <c r="I178" s="6">
        <v>14</v>
      </c>
      <c r="J178" s="6">
        <v>6</v>
      </c>
      <c r="K178" s="6">
        <v>10</v>
      </c>
      <c r="L178" s="6">
        <v>6</v>
      </c>
      <c r="M178" s="3">
        <v>3</v>
      </c>
      <c r="N178" s="4" t="s">
        <v>33</v>
      </c>
      <c r="O178" s="6">
        <v>1</v>
      </c>
      <c r="P178" s="4" t="s">
        <v>33</v>
      </c>
      <c r="Q178" s="4" t="s">
        <v>33</v>
      </c>
      <c r="R178" s="4" t="s">
        <v>33</v>
      </c>
      <c r="S178" s="6">
        <v>1</v>
      </c>
      <c r="T178" s="4" t="s">
        <v>33</v>
      </c>
      <c r="U178" s="4" t="s">
        <v>33</v>
      </c>
      <c r="V178" s="4" t="s">
        <v>33</v>
      </c>
      <c r="W178" s="4" t="s">
        <v>33</v>
      </c>
      <c r="X178" s="4" t="s">
        <v>33</v>
      </c>
      <c r="Y178" s="4" t="s">
        <v>33</v>
      </c>
      <c r="Z178" s="4" t="s">
        <v>33</v>
      </c>
      <c r="AA178" s="4" t="s">
        <v>33</v>
      </c>
      <c r="AB178" s="4" t="s">
        <v>33</v>
      </c>
      <c r="AC178" s="4" t="s">
        <v>33</v>
      </c>
    </row>
    <row r="179" spans="1:29" ht="15.75" customHeight="1" x14ac:dyDescent="0.2">
      <c r="A179" s="3" t="s">
        <v>25</v>
      </c>
      <c r="B179" s="3" t="s">
        <v>7</v>
      </c>
      <c r="C179" s="3" t="s">
        <v>29</v>
      </c>
      <c r="D179" s="4" t="s">
        <v>33</v>
      </c>
      <c r="E179" s="4" t="s">
        <v>33</v>
      </c>
      <c r="F179" s="4" t="s">
        <v>33</v>
      </c>
      <c r="G179" s="6" t="s">
        <v>33</v>
      </c>
      <c r="H179" s="10">
        <v>1</v>
      </c>
      <c r="I179" s="6">
        <v>8</v>
      </c>
      <c r="J179" s="6">
        <v>14</v>
      </c>
      <c r="K179" s="6">
        <v>16</v>
      </c>
      <c r="L179" s="6">
        <v>4</v>
      </c>
      <c r="M179" s="3">
        <v>2</v>
      </c>
      <c r="N179" s="3">
        <v>1</v>
      </c>
      <c r="O179" s="4" t="s">
        <v>33</v>
      </c>
      <c r="P179" s="4" t="s">
        <v>33</v>
      </c>
      <c r="Q179" s="4" t="s">
        <v>33</v>
      </c>
      <c r="R179" s="4" t="s">
        <v>33</v>
      </c>
      <c r="S179" s="4" t="s">
        <v>33</v>
      </c>
      <c r="T179" s="4" t="s">
        <v>33</v>
      </c>
      <c r="U179" s="4" t="s">
        <v>33</v>
      </c>
      <c r="V179" s="4" t="s">
        <v>33</v>
      </c>
      <c r="W179" s="4" t="s">
        <v>33</v>
      </c>
      <c r="X179" s="4" t="s">
        <v>33</v>
      </c>
      <c r="Y179" s="4" t="s">
        <v>33</v>
      </c>
      <c r="Z179" s="4" t="s">
        <v>33</v>
      </c>
      <c r="AA179" s="4" t="s">
        <v>33</v>
      </c>
      <c r="AB179" s="4" t="s">
        <v>33</v>
      </c>
      <c r="AC179" s="4" t="s">
        <v>33</v>
      </c>
    </row>
    <row r="180" spans="1:29" ht="15.75" customHeight="1" x14ac:dyDescent="0.2">
      <c r="A180" s="3" t="s">
        <v>25</v>
      </c>
      <c r="B180" s="3" t="s">
        <v>7</v>
      </c>
      <c r="C180" s="3" t="s">
        <v>30</v>
      </c>
      <c r="D180" s="4" t="s">
        <v>33</v>
      </c>
      <c r="E180" s="4" t="s">
        <v>33</v>
      </c>
      <c r="F180" s="4" t="s">
        <v>33</v>
      </c>
      <c r="G180" s="6" t="s">
        <v>33</v>
      </c>
      <c r="H180" s="10">
        <v>5</v>
      </c>
      <c r="I180" s="6">
        <v>10</v>
      </c>
      <c r="J180" s="6">
        <v>12</v>
      </c>
      <c r="K180" s="6">
        <v>12</v>
      </c>
      <c r="L180" s="6">
        <v>4</v>
      </c>
      <c r="M180" s="3">
        <v>1</v>
      </c>
      <c r="N180" s="3">
        <v>0</v>
      </c>
      <c r="O180" s="4" t="s">
        <v>33</v>
      </c>
      <c r="P180" s="4" t="s">
        <v>33</v>
      </c>
      <c r="Q180" s="4" t="s">
        <v>33</v>
      </c>
      <c r="R180" s="4" t="s">
        <v>33</v>
      </c>
      <c r="S180" s="4" t="s">
        <v>33</v>
      </c>
      <c r="T180" s="4" t="s">
        <v>33</v>
      </c>
      <c r="U180" s="4" t="s">
        <v>33</v>
      </c>
      <c r="V180" s="4" t="s">
        <v>33</v>
      </c>
      <c r="W180" s="4" t="s">
        <v>33</v>
      </c>
      <c r="X180" s="4" t="s">
        <v>33</v>
      </c>
      <c r="Y180" s="4" t="s">
        <v>33</v>
      </c>
      <c r="Z180" s="4" t="s">
        <v>33</v>
      </c>
      <c r="AA180" s="4" t="s">
        <v>33</v>
      </c>
      <c r="AB180" s="4" t="s">
        <v>33</v>
      </c>
      <c r="AC180" s="4" t="s">
        <v>33</v>
      </c>
    </row>
    <row r="181" spans="1:29" ht="15.75" customHeight="1" x14ac:dyDescent="0.2">
      <c r="A181" s="3" t="s">
        <v>25</v>
      </c>
      <c r="B181" s="3" t="s">
        <v>8</v>
      </c>
      <c r="C181" s="3" t="s">
        <v>29</v>
      </c>
      <c r="D181" s="4" t="s">
        <v>33</v>
      </c>
      <c r="E181" s="4" t="s">
        <v>33</v>
      </c>
      <c r="F181" s="4" t="s">
        <v>33</v>
      </c>
      <c r="G181" s="6" t="s">
        <v>33</v>
      </c>
      <c r="H181" s="10">
        <v>1</v>
      </c>
      <c r="I181" s="6">
        <v>5</v>
      </c>
      <c r="J181" s="6">
        <v>12</v>
      </c>
      <c r="K181" s="6">
        <v>13</v>
      </c>
      <c r="L181" s="6">
        <v>8</v>
      </c>
      <c r="M181" s="3">
        <v>4</v>
      </c>
      <c r="N181" s="3">
        <v>3</v>
      </c>
      <c r="O181" s="6">
        <v>2</v>
      </c>
      <c r="P181" s="6">
        <v>0</v>
      </c>
      <c r="Q181" s="4" t="s">
        <v>33</v>
      </c>
      <c r="R181" s="4" t="s">
        <v>33</v>
      </c>
      <c r="S181" s="4" t="s">
        <v>33</v>
      </c>
      <c r="T181" s="4" t="s">
        <v>33</v>
      </c>
      <c r="U181" s="4" t="s">
        <v>33</v>
      </c>
      <c r="V181" s="4" t="s">
        <v>33</v>
      </c>
      <c r="W181" s="4" t="s">
        <v>33</v>
      </c>
      <c r="X181" s="4" t="s">
        <v>33</v>
      </c>
      <c r="Y181" s="4" t="s">
        <v>33</v>
      </c>
      <c r="Z181" s="4" t="s">
        <v>33</v>
      </c>
      <c r="AA181" s="4" t="s">
        <v>33</v>
      </c>
      <c r="AB181" s="4" t="s">
        <v>33</v>
      </c>
      <c r="AC181" s="6">
        <v>1</v>
      </c>
    </row>
    <row r="182" spans="1:29" ht="15.75" customHeight="1" x14ac:dyDescent="0.2">
      <c r="A182" s="3" t="s">
        <v>25</v>
      </c>
      <c r="B182" s="3" t="s">
        <v>8</v>
      </c>
      <c r="C182" s="3" t="s">
        <v>30</v>
      </c>
      <c r="D182" s="4" t="s">
        <v>33</v>
      </c>
      <c r="E182" s="4" t="s">
        <v>33</v>
      </c>
      <c r="F182" s="4" t="s">
        <v>33</v>
      </c>
      <c r="G182" s="6" t="s">
        <v>33</v>
      </c>
      <c r="H182" s="10">
        <v>7</v>
      </c>
      <c r="I182" s="6">
        <v>16</v>
      </c>
      <c r="J182" s="6">
        <v>11</v>
      </c>
      <c r="K182" s="6">
        <v>17</v>
      </c>
      <c r="L182" s="6">
        <v>5</v>
      </c>
      <c r="M182" s="3">
        <v>4</v>
      </c>
      <c r="N182" s="3">
        <v>1</v>
      </c>
      <c r="O182" s="6">
        <v>1</v>
      </c>
      <c r="P182" s="6">
        <v>1</v>
      </c>
      <c r="Q182" s="4" t="s">
        <v>33</v>
      </c>
      <c r="R182" s="4" t="s">
        <v>33</v>
      </c>
      <c r="S182" s="4" t="s">
        <v>33</v>
      </c>
      <c r="T182" s="4" t="s">
        <v>33</v>
      </c>
      <c r="U182" s="4" t="s">
        <v>33</v>
      </c>
      <c r="V182" s="4" t="s">
        <v>33</v>
      </c>
      <c r="W182" s="4" t="s">
        <v>33</v>
      </c>
      <c r="X182" s="4" t="s">
        <v>33</v>
      </c>
      <c r="Y182" s="4" t="s">
        <v>33</v>
      </c>
      <c r="Z182" s="4" t="s">
        <v>33</v>
      </c>
      <c r="AA182" s="4" t="s">
        <v>33</v>
      </c>
      <c r="AB182" s="4" t="s">
        <v>33</v>
      </c>
      <c r="AC182" s="6">
        <v>0</v>
      </c>
    </row>
    <row r="183" spans="1:29" ht="15.75" customHeight="1" x14ac:dyDescent="0.2">
      <c r="A183" s="3" t="s">
        <v>26</v>
      </c>
      <c r="B183" s="3" t="s">
        <v>4</v>
      </c>
      <c r="C183" s="3" t="s">
        <v>29</v>
      </c>
      <c r="D183" s="4" t="s">
        <v>33</v>
      </c>
      <c r="E183" s="4" t="s">
        <v>33</v>
      </c>
      <c r="F183" s="4" t="s">
        <v>33</v>
      </c>
      <c r="G183" s="6">
        <v>0</v>
      </c>
      <c r="H183" s="10">
        <v>1</v>
      </c>
      <c r="I183" s="6">
        <v>10</v>
      </c>
      <c r="J183" s="6">
        <v>12</v>
      </c>
      <c r="K183" s="6">
        <v>11</v>
      </c>
      <c r="L183" s="6">
        <v>2</v>
      </c>
      <c r="M183" s="4" t="s">
        <v>33</v>
      </c>
      <c r="N183" s="4" t="s">
        <v>33</v>
      </c>
      <c r="O183" s="4" t="s">
        <v>33</v>
      </c>
      <c r="P183" s="4" t="s">
        <v>33</v>
      </c>
      <c r="Q183" s="4" t="s">
        <v>33</v>
      </c>
      <c r="R183" s="4" t="s">
        <v>33</v>
      </c>
      <c r="S183" s="4" t="s">
        <v>33</v>
      </c>
      <c r="T183" s="4" t="s">
        <v>33</v>
      </c>
      <c r="U183" s="4" t="s">
        <v>33</v>
      </c>
      <c r="V183" s="4" t="s">
        <v>33</v>
      </c>
      <c r="W183" s="4" t="s">
        <v>33</v>
      </c>
      <c r="X183" s="4" t="s">
        <v>33</v>
      </c>
      <c r="Y183" s="4" t="s">
        <v>33</v>
      </c>
      <c r="Z183" s="4" t="s">
        <v>33</v>
      </c>
      <c r="AA183" s="4" t="s">
        <v>33</v>
      </c>
      <c r="AB183" s="4" t="s">
        <v>33</v>
      </c>
      <c r="AC183" s="4" t="s">
        <v>33</v>
      </c>
    </row>
    <row r="184" spans="1:29" ht="15.75" customHeight="1" x14ac:dyDescent="0.2">
      <c r="A184" s="3" t="s">
        <v>26</v>
      </c>
      <c r="B184" s="3" t="s">
        <v>4</v>
      </c>
      <c r="C184" s="3" t="s">
        <v>30</v>
      </c>
      <c r="D184" s="4" t="s">
        <v>33</v>
      </c>
      <c r="E184" s="4" t="s">
        <v>33</v>
      </c>
      <c r="F184" s="4" t="s">
        <v>33</v>
      </c>
      <c r="G184" s="6">
        <v>1</v>
      </c>
      <c r="H184" s="10">
        <v>12</v>
      </c>
      <c r="I184" s="6">
        <v>15</v>
      </c>
      <c r="J184" s="6">
        <v>11</v>
      </c>
      <c r="K184" s="6">
        <v>11</v>
      </c>
      <c r="L184" s="6">
        <v>1</v>
      </c>
      <c r="M184" s="4" t="s">
        <v>33</v>
      </c>
      <c r="N184" s="4" t="s">
        <v>33</v>
      </c>
      <c r="O184" s="4" t="s">
        <v>33</v>
      </c>
      <c r="P184" s="4" t="s">
        <v>33</v>
      </c>
      <c r="Q184" s="4" t="s">
        <v>33</v>
      </c>
      <c r="R184" s="4" t="s">
        <v>33</v>
      </c>
      <c r="S184" s="4" t="s">
        <v>33</v>
      </c>
      <c r="T184" s="4" t="s">
        <v>33</v>
      </c>
      <c r="U184" s="4" t="s">
        <v>33</v>
      </c>
      <c r="V184" s="4" t="s">
        <v>33</v>
      </c>
      <c r="W184" s="4" t="s">
        <v>33</v>
      </c>
      <c r="X184" s="4" t="s">
        <v>33</v>
      </c>
      <c r="Y184" s="4" t="s">
        <v>33</v>
      </c>
      <c r="Z184" s="4" t="s">
        <v>33</v>
      </c>
      <c r="AA184" s="4" t="s">
        <v>33</v>
      </c>
      <c r="AB184" s="4" t="s">
        <v>33</v>
      </c>
      <c r="AC184" s="4" t="s">
        <v>33</v>
      </c>
    </row>
    <row r="185" spans="1:29" ht="15.75" customHeight="1" x14ac:dyDescent="0.2">
      <c r="A185" s="3" t="s">
        <v>26</v>
      </c>
      <c r="B185" s="3" t="s">
        <v>5</v>
      </c>
      <c r="C185" s="3" t="s">
        <v>29</v>
      </c>
      <c r="D185" s="4" t="s">
        <v>33</v>
      </c>
      <c r="E185" s="4" t="s">
        <v>33</v>
      </c>
      <c r="F185" s="4" t="s">
        <v>33</v>
      </c>
      <c r="G185" s="6">
        <v>0</v>
      </c>
      <c r="H185" s="10">
        <v>0</v>
      </c>
      <c r="I185" s="6">
        <v>3</v>
      </c>
      <c r="J185" s="6">
        <v>7</v>
      </c>
      <c r="K185" s="6">
        <v>9</v>
      </c>
      <c r="L185" s="6">
        <v>7</v>
      </c>
      <c r="M185" s="3">
        <v>4</v>
      </c>
      <c r="N185" s="4" t="s">
        <v>33</v>
      </c>
      <c r="O185" s="6">
        <v>2</v>
      </c>
      <c r="P185" s="4" t="s">
        <v>33</v>
      </c>
      <c r="Q185" s="4" t="s">
        <v>33</v>
      </c>
      <c r="R185" s="4" t="s">
        <v>33</v>
      </c>
      <c r="S185" s="4" t="s">
        <v>33</v>
      </c>
      <c r="T185" s="4" t="s">
        <v>33</v>
      </c>
      <c r="U185" s="4" t="s">
        <v>33</v>
      </c>
      <c r="V185" s="6">
        <v>1</v>
      </c>
      <c r="W185" s="4" t="s">
        <v>33</v>
      </c>
      <c r="X185" s="4" t="s">
        <v>33</v>
      </c>
      <c r="Y185" s="4" t="s">
        <v>33</v>
      </c>
      <c r="Z185" s="4" t="s">
        <v>33</v>
      </c>
      <c r="AA185" s="4" t="s">
        <v>33</v>
      </c>
      <c r="AB185" s="4" t="s">
        <v>33</v>
      </c>
      <c r="AC185" s="4" t="s">
        <v>33</v>
      </c>
    </row>
    <row r="186" spans="1:29" ht="15.75" customHeight="1" x14ac:dyDescent="0.2">
      <c r="A186" s="3" t="s">
        <v>26</v>
      </c>
      <c r="B186" s="3" t="s">
        <v>5</v>
      </c>
      <c r="C186" s="3" t="s">
        <v>30</v>
      </c>
      <c r="D186" s="4" t="s">
        <v>33</v>
      </c>
      <c r="E186" s="4" t="s">
        <v>33</v>
      </c>
      <c r="F186" s="4" t="s">
        <v>33</v>
      </c>
      <c r="G186" s="6">
        <v>3</v>
      </c>
      <c r="H186" s="10">
        <v>5</v>
      </c>
      <c r="I186" s="6">
        <v>12</v>
      </c>
      <c r="J186" s="6">
        <v>9</v>
      </c>
      <c r="K186" s="6">
        <v>7</v>
      </c>
      <c r="L186" s="6">
        <v>6</v>
      </c>
      <c r="M186" s="3">
        <v>1</v>
      </c>
      <c r="N186" s="4" t="s">
        <v>33</v>
      </c>
      <c r="O186" s="6">
        <v>0</v>
      </c>
      <c r="P186" s="4" t="s">
        <v>33</v>
      </c>
      <c r="Q186" s="4" t="s">
        <v>33</v>
      </c>
      <c r="R186" s="4" t="s">
        <v>33</v>
      </c>
      <c r="S186" s="4" t="s">
        <v>33</v>
      </c>
      <c r="T186" s="4" t="s">
        <v>33</v>
      </c>
      <c r="U186" s="4" t="s">
        <v>33</v>
      </c>
      <c r="V186" s="6">
        <v>0</v>
      </c>
      <c r="W186" s="4" t="s">
        <v>33</v>
      </c>
      <c r="X186" s="4" t="s">
        <v>33</v>
      </c>
      <c r="Y186" s="4" t="s">
        <v>33</v>
      </c>
      <c r="Z186" s="4" t="s">
        <v>33</v>
      </c>
      <c r="AA186" s="4" t="s">
        <v>33</v>
      </c>
      <c r="AB186" s="4" t="s">
        <v>33</v>
      </c>
      <c r="AC186" s="4" t="s">
        <v>33</v>
      </c>
    </row>
    <row r="187" spans="1:29" ht="15.75" customHeight="1" x14ac:dyDescent="0.2">
      <c r="A187" s="3" t="s">
        <v>26</v>
      </c>
      <c r="B187" s="3" t="s">
        <v>6</v>
      </c>
      <c r="C187" s="3" t="s">
        <v>29</v>
      </c>
      <c r="D187" s="4" t="s">
        <v>33</v>
      </c>
      <c r="E187" s="4" t="s">
        <v>33</v>
      </c>
      <c r="F187" s="3">
        <v>1</v>
      </c>
      <c r="G187" s="6" t="s">
        <v>33</v>
      </c>
      <c r="H187" s="10">
        <v>3</v>
      </c>
      <c r="I187" s="6">
        <v>5</v>
      </c>
      <c r="J187" s="6">
        <v>6</v>
      </c>
      <c r="K187" s="6">
        <v>10</v>
      </c>
      <c r="L187" s="6">
        <v>4</v>
      </c>
      <c r="M187" s="3">
        <v>2</v>
      </c>
      <c r="N187" s="4" t="s">
        <v>33</v>
      </c>
      <c r="O187" s="6">
        <v>0</v>
      </c>
      <c r="P187" s="6">
        <v>1</v>
      </c>
      <c r="Q187" s="4" t="s">
        <v>33</v>
      </c>
      <c r="R187" s="4" t="s">
        <v>33</v>
      </c>
      <c r="S187" s="4" t="s">
        <v>33</v>
      </c>
      <c r="T187" s="4" t="s">
        <v>33</v>
      </c>
      <c r="U187" s="4" t="s">
        <v>33</v>
      </c>
      <c r="V187" s="4" t="s">
        <v>33</v>
      </c>
      <c r="W187" s="4" t="s">
        <v>33</v>
      </c>
      <c r="X187" s="4" t="s">
        <v>33</v>
      </c>
      <c r="Y187" s="4" t="s">
        <v>33</v>
      </c>
      <c r="Z187" s="4" t="s">
        <v>33</v>
      </c>
      <c r="AA187" s="4" t="s">
        <v>33</v>
      </c>
      <c r="AB187" s="4" t="s">
        <v>33</v>
      </c>
      <c r="AC187" s="4" t="s">
        <v>33</v>
      </c>
    </row>
    <row r="188" spans="1:29" ht="15.75" customHeight="1" x14ac:dyDescent="0.2">
      <c r="A188" s="3" t="s">
        <v>26</v>
      </c>
      <c r="B188" s="3" t="s">
        <v>6</v>
      </c>
      <c r="C188" s="3" t="s">
        <v>30</v>
      </c>
      <c r="D188" s="4" t="s">
        <v>33</v>
      </c>
      <c r="E188" s="4" t="s">
        <v>33</v>
      </c>
      <c r="F188" s="3">
        <v>0</v>
      </c>
      <c r="G188" s="6" t="s">
        <v>33</v>
      </c>
      <c r="H188" s="10">
        <v>7</v>
      </c>
      <c r="I188" s="6">
        <v>12</v>
      </c>
      <c r="J188" s="6">
        <v>13</v>
      </c>
      <c r="K188" s="6">
        <v>15</v>
      </c>
      <c r="L188" s="6">
        <v>4</v>
      </c>
      <c r="M188" s="3">
        <v>0</v>
      </c>
      <c r="N188" s="4" t="s">
        <v>33</v>
      </c>
      <c r="O188" s="6">
        <v>1</v>
      </c>
      <c r="P188" s="6">
        <v>0</v>
      </c>
      <c r="Q188" s="4" t="s">
        <v>33</v>
      </c>
      <c r="R188" s="4" t="s">
        <v>33</v>
      </c>
      <c r="S188" s="4" t="s">
        <v>33</v>
      </c>
      <c r="T188" s="4" t="s">
        <v>33</v>
      </c>
      <c r="U188" s="4" t="s">
        <v>33</v>
      </c>
      <c r="V188" s="4" t="s">
        <v>33</v>
      </c>
      <c r="W188" s="4" t="s">
        <v>33</v>
      </c>
      <c r="X188" s="4" t="s">
        <v>33</v>
      </c>
      <c r="Y188" s="4" t="s">
        <v>33</v>
      </c>
      <c r="Z188" s="4" t="s">
        <v>33</v>
      </c>
      <c r="AA188" s="4" t="s">
        <v>33</v>
      </c>
      <c r="AB188" s="4" t="s">
        <v>33</v>
      </c>
      <c r="AC188" s="4" t="s">
        <v>33</v>
      </c>
    </row>
    <row r="189" spans="1:29" ht="15.75" customHeight="1" x14ac:dyDescent="0.2">
      <c r="A189" s="3" t="s">
        <v>26</v>
      </c>
      <c r="B189" s="3" t="s">
        <v>7</v>
      </c>
      <c r="C189" s="3" t="s">
        <v>29</v>
      </c>
      <c r="D189" s="4" t="s">
        <v>33</v>
      </c>
      <c r="E189" s="4" t="s">
        <v>33</v>
      </c>
      <c r="F189" s="4" t="s">
        <v>33</v>
      </c>
      <c r="G189" s="6">
        <v>0</v>
      </c>
      <c r="H189" s="10">
        <v>2</v>
      </c>
      <c r="I189" s="6">
        <v>8</v>
      </c>
      <c r="J189" s="6">
        <v>13</v>
      </c>
      <c r="K189" s="6">
        <v>17</v>
      </c>
      <c r="L189" s="6">
        <v>4</v>
      </c>
      <c r="M189" s="3">
        <v>2</v>
      </c>
      <c r="N189" s="3">
        <v>3</v>
      </c>
      <c r="O189" s="4" t="s">
        <v>33</v>
      </c>
      <c r="P189" s="4" t="s">
        <v>33</v>
      </c>
      <c r="Q189" s="4" t="s">
        <v>33</v>
      </c>
      <c r="R189" s="4" t="s">
        <v>33</v>
      </c>
      <c r="S189" s="4" t="s">
        <v>33</v>
      </c>
      <c r="T189" s="4" t="s">
        <v>33</v>
      </c>
      <c r="U189" s="4" t="s">
        <v>33</v>
      </c>
      <c r="V189" s="4" t="s">
        <v>33</v>
      </c>
      <c r="W189" s="4" t="s">
        <v>33</v>
      </c>
      <c r="X189" s="4" t="s">
        <v>33</v>
      </c>
      <c r="Y189" s="4" t="s">
        <v>33</v>
      </c>
      <c r="Z189" s="4" t="s">
        <v>33</v>
      </c>
      <c r="AA189" s="4" t="s">
        <v>33</v>
      </c>
      <c r="AB189" s="4" t="s">
        <v>33</v>
      </c>
      <c r="AC189" s="4" t="s">
        <v>33</v>
      </c>
    </row>
    <row r="190" spans="1:29" ht="15.75" customHeight="1" x14ac:dyDescent="0.2">
      <c r="A190" s="3" t="s">
        <v>26</v>
      </c>
      <c r="B190" s="3" t="s">
        <v>7</v>
      </c>
      <c r="C190" s="3" t="s">
        <v>30</v>
      </c>
      <c r="D190" s="4" t="s">
        <v>33</v>
      </c>
      <c r="E190" s="4" t="s">
        <v>33</v>
      </c>
      <c r="F190" s="4" t="s">
        <v>33</v>
      </c>
      <c r="G190" s="6">
        <v>1</v>
      </c>
      <c r="H190" s="10">
        <v>5</v>
      </c>
      <c r="I190" s="6">
        <v>13</v>
      </c>
      <c r="J190" s="6">
        <v>11</v>
      </c>
      <c r="K190" s="6">
        <v>11</v>
      </c>
      <c r="L190" s="6">
        <v>2</v>
      </c>
      <c r="M190" s="3">
        <v>0</v>
      </c>
      <c r="N190" s="3">
        <v>0</v>
      </c>
      <c r="O190" s="4" t="s">
        <v>33</v>
      </c>
      <c r="P190" s="4" t="s">
        <v>33</v>
      </c>
      <c r="Q190" s="4" t="s">
        <v>33</v>
      </c>
      <c r="R190" s="4" t="s">
        <v>33</v>
      </c>
      <c r="S190" s="4" t="s">
        <v>33</v>
      </c>
      <c r="T190" s="4" t="s">
        <v>33</v>
      </c>
      <c r="U190" s="4" t="s">
        <v>33</v>
      </c>
      <c r="V190" s="4" t="s">
        <v>33</v>
      </c>
      <c r="W190" s="4" t="s">
        <v>33</v>
      </c>
      <c r="X190" s="4" t="s">
        <v>33</v>
      </c>
      <c r="Y190" s="4" t="s">
        <v>33</v>
      </c>
      <c r="Z190" s="4" t="s">
        <v>33</v>
      </c>
      <c r="AA190" s="4" t="s">
        <v>33</v>
      </c>
      <c r="AB190" s="4" t="s">
        <v>33</v>
      </c>
      <c r="AC190" s="4" t="s">
        <v>33</v>
      </c>
    </row>
    <row r="191" spans="1:29" ht="16.5" customHeight="1" x14ac:dyDescent="0.2">
      <c r="A191" s="3" t="s">
        <v>26</v>
      </c>
      <c r="B191" s="3" t="s">
        <v>8</v>
      </c>
      <c r="C191" s="3" t="s">
        <v>29</v>
      </c>
      <c r="D191" s="4" t="s">
        <v>33</v>
      </c>
      <c r="E191" s="4" t="s">
        <v>33</v>
      </c>
      <c r="F191" s="3">
        <v>0</v>
      </c>
      <c r="G191" s="6">
        <v>0</v>
      </c>
      <c r="H191" s="10">
        <v>1</v>
      </c>
      <c r="I191" s="6">
        <v>7</v>
      </c>
      <c r="J191" s="6">
        <v>10</v>
      </c>
      <c r="K191" s="6">
        <v>11</v>
      </c>
      <c r="L191" s="6">
        <v>8</v>
      </c>
      <c r="M191" s="3">
        <v>3</v>
      </c>
      <c r="N191" s="4" t="s">
        <v>33</v>
      </c>
      <c r="O191" s="6">
        <v>2</v>
      </c>
      <c r="P191" s="6">
        <v>0</v>
      </c>
      <c r="Q191" s="4" t="s">
        <v>33</v>
      </c>
      <c r="R191" s="4" t="s">
        <v>33</v>
      </c>
      <c r="S191" s="4" t="s">
        <v>33</v>
      </c>
      <c r="T191" s="4" t="s">
        <v>33</v>
      </c>
      <c r="U191" s="4" t="s">
        <v>33</v>
      </c>
      <c r="V191" s="4" t="s">
        <v>33</v>
      </c>
      <c r="W191" s="4" t="s">
        <v>33</v>
      </c>
      <c r="X191" s="4" t="s">
        <v>33</v>
      </c>
      <c r="Y191" s="6">
        <v>0</v>
      </c>
      <c r="Z191" s="4" t="s">
        <v>33</v>
      </c>
      <c r="AA191" s="4" t="s">
        <v>33</v>
      </c>
      <c r="AB191" s="6">
        <v>1</v>
      </c>
      <c r="AC191" s="4" t="s">
        <v>33</v>
      </c>
    </row>
    <row r="192" spans="1:29" ht="15.75" customHeight="1" x14ac:dyDescent="0.2">
      <c r="A192" s="3" t="s">
        <v>26</v>
      </c>
      <c r="B192" s="3" t="s">
        <v>8</v>
      </c>
      <c r="C192" s="3" t="s">
        <v>30</v>
      </c>
      <c r="D192" s="4" t="s">
        <v>33</v>
      </c>
      <c r="E192" s="4" t="s">
        <v>33</v>
      </c>
      <c r="F192" s="3">
        <v>1</v>
      </c>
      <c r="G192" s="6">
        <v>1</v>
      </c>
      <c r="H192" s="10">
        <v>5</v>
      </c>
      <c r="I192" s="6">
        <v>13</v>
      </c>
      <c r="J192" s="6">
        <v>7</v>
      </c>
      <c r="K192" s="6">
        <v>11</v>
      </c>
      <c r="L192" s="6">
        <v>0</v>
      </c>
      <c r="M192" s="3">
        <v>0</v>
      </c>
      <c r="N192" s="4" t="s">
        <v>33</v>
      </c>
      <c r="O192" s="6">
        <v>0</v>
      </c>
      <c r="P192" s="6">
        <v>2</v>
      </c>
      <c r="Q192" s="4" t="s">
        <v>33</v>
      </c>
      <c r="R192" s="4" t="s">
        <v>33</v>
      </c>
      <c r="S192" s="4" t="s">
        <v>33</v>
      </c>
      <c r="T192" s="4" t="s">
        <v>33</v>
      </c>
      <c r="U192" s="4" t="s">
        <v>33</v>
      </c>
      <c r="V192" s="4" t="s">
        <v>33</v>
      </c>
      <c r="W192" s="4" t="s">
        <v>33</v>
      </c>
      <c r="X192" s="4" t="s">
        <v>33</v>
      </c>
      <c r="Y192" s="6">
        <v>1</v>
      </c>
      <c r="Z192" s="4" t="s">
        <v>33</v>
      </c>
      <c r="AA192" s="4" t="s">
        <v>33</v>
      </c>
      <c r="AB192" s="6">
        <v>0</v>
      </c>
      <c r="AC192" s="4" t="s">
        <v>33</v>
      </c>
    </row>
    <row r="193" spans="1:29" ht="15.75" customHeight="1" x14ac:dyDescent="0.2">
      <c r="A193" s="3" t="s">
        <v>27</v>
      </c>
      <c r="B193" s="3" t="s">
        <v>4</v>
      </c>
      <c r="C193" s="3" t="s">
        <v>29</v>
      </c>
      <c r="D193" s="4" t="s">
        <v>33</v>
      </c>
      <c r="E193" s="4" t="s">
        <v>33</v>
      </c>
      <c r="F193" s="3">
        <v>0</v>
      </c>
      <c r="G193" s="6">
        <v>5</v>
      </c>
      <c r="H193" s="10">
        <v>27</v>
      </c>
      <c r="I193" s="6">
        <v>12</v>
      </c>
      <c r="J193" s="6">
        <v>4</v>
      </c>
      <c r="K193" s="6">
        <v>5</v>
      </c>
      <c r="L193" s="6">
        <v>1</v>
      </c>
      <c r="M193" s="4" t="s">
        <v>33</v>
      </c>
      <c r="N193" s="4" t="s">
        <v>33</v>
      </c>
      <c r="O193" s="4" t="s">
        <v>33</v>
      </c>
      <c r="P193" s="4" t="s">
        <v>33</v>
      </c>
      <c r="Q193" s="4" t="s">
        <v>33</v>
      </c>
      <c r="R193" s="6">
        <v>0</v>
      </c>
      <c r="S193" s="4" t="s">
        <v>33</v>
      </c>
      <c r="T193" s="4" t="s">
        <v>33</v>
      </c>
      <c r="U193" s="4" t="s">
        <v>33</v>
      </c>
      <c r="V193" s="4" t="s">
        <v>33</v>
      </c>
      <c r="W193" s="4" t="s">
        <v>33</v>
      </c>
      <c r="X193" s="4" t="s">
        <v>33</v>
      </c>
      <c r="Y193" s="4" t="s">
        <v>33</v>
      </c>
      <c r="Z193" s="4" t="s">
        <v>33</v>
      </c>
      <c r="AA193" s="4" t="s">
        <v>33</v>
      </c>
      <c r="AB193" s="4" t="s">
        <v>33</v>
      </c>
      <c r="AC193" s="4" t="s">
        <v>33</v>
      </c>
    </row>
    <row r="194" spans="1:29" ht="15.75" customHeight="1" x14ac:dyDescent="0.2">
      <c r="A194" s="3" t="s">
        <v>27</v>
      </c>
      <c r="B194" s="3" t="s">
        <v>4</v>
      </c>
      <c r="C194" s="3" t="s">
        <v>30</v>
      </c>
      <c r="D194" s="4" t="s">
        <v>33</v>
      </c>
      <c r="E194" s="4" t="s">
        <v>33</v>
      </c>
      <c r="F194" s="3">
        <v>5</v>
      </c>
      <c r="G194" s="6">
        <v>9</v>
      </c>
      <c r="H194" s="10">
        <v>13</v>
      </c>
      <c r="I194" s="6">
        <v>9</v>
      </c>
      <c r="J194" s="6">
        <v>5</v>
      </c>
      <c r="K194" s="6">
        <v>0</v>
      </c>
      <c r="L194" s="6">
        <v>0</v>
      </c>
      <c r="M194" s="4" t="s">
        <v>33</v>
      </c>
      <c r="N194" s="4" t="s">
        <v>33</v>
      </c>
      <c r="O194" s="4" t="s">
        <v>33</v>
      </c>
      <c r="P194" s="4" t="s">
        <v>33</v>
      </c>
      <c r="Q194" s="4" t="s">
        <v>33</v>
      </c>
      <c r="R194" s="6">
        <v>1</v>
      </c>
      <c r="S194" s="4" t="s">
        <v>33</v>
      </c>
      <c r="T194" s="4" t="s">
        <v>33</v>
      </c>
      <c r="U194" s="4" t="s">
        <v>33</v>
      </c>
      <c r="V194" s="4" t="s">
        <v>33</v>
      </c>
      <c r="W194" s="4" t="s">
        <v>33</v>
      </c>
      <c r="X194" s="4" t="s">
        <v>33</v>
      </c>
      <c r="Y194" s="4" t="s">
        <v>33</v>
      </c>
      <c r="Z194" s="4" t="s">
        <v>33</v>
      </c>
      <c r="AA194" s="4" t="s">
        <v>33</v>
      </c>
      <c r="AB194" s="4" t="s">
        <v>33</v>
      </c>
      <c r="AC194" s="4" t="s">
        <v>33</v>
      </c>
    </row>
    <row r="195" spans="1:29" ht="15.75" customHeight="1" x14ac:dyDescent="0.2">
      <c r="A195" s="3" t="s">
        <v>27</v>
      </c>
      <c r="B195" s="3" t="s">
        <v>5</v>
      </c>
      <c r="C195" s="3" t="s">
        <v>29</v>
      </c>
      <c r="D195" s="4" t="s">
        <v>33</v>
      </c>
      <c r="E195" s="4" t="s">
        <v>33</v>
      </c>
      <c r="F195" s="3">
        <v>2</v>
      </c>
      <c r="G195" s="6">
        <v>2</v>
      </c>
      <c r="H195" s="10">
        <v>12</v>
      </c>
      <c r="I195" s="6">
        <v>12</v>
      </c>
      <c r="J195" s="6">
        <v>8</v>
      </c>
      <c r="K195" s="6">
        <v>5</v>
      </c>
      <c r="L195" s="6">
        <v>2</v>
      </c>
      <c r="M195" s="4" t="s">
        <v>33</v>
      </c>
      <c r="N195" s="4" t="s">
        <v>33</v>
      </c>
      <c r="O195" s="4" t="s">
        <v>33</v>
      </c>
      <c r="P195" s="4" t="s">
        <v>33</v>
      </c>
      <c r="Q195" s="4" t="s">
        <v>33</v>
      </c>
      <c r="R195" s="4" t="s">
        <v>33</v>
      </c>
      <c r="S195" s="4" t="s">
        <v>33</v>
      </c>
      <c r="T195" s="4" t="s">
        <v>33</v>
      </c>
      <c r="U195" s="4" t="s">
        <v>33</v>
      </c>
      <c r="V195" s="4" t="s">
        <v>33</v>
      </c>
      <c r="W195" s="4" t="s">
        <v>33</v>
      </c>
      <c r="X195" s="4" t="s">
        <v>33</v>
      </c>
      <c r="Y195" s="4" t="s">
        <v>33</v>
      </c>
      <c r="Z195" s="4" t="s">
        <v>33</v>
      </c>
      <c r="AA195" s="4" t="s">
        <v>33</v>
      </c>
      <c r="AB195" s="4" t="s">
        <v>33</v>
      </c>
      <c r="AC195" s="4" t="s">
        <v>33</v>
      </c>
    </row>
    <row r="196" spans="1:29" ht="15.75" customHeight="1" x14ac:dyDescent="0.2">
      <c r="A196" s="3" t="s">
        <v>27</v>
      </c>
      <c r="B196" s="3" t="s">
        <v>5</v>
      </c>
      <c r="C196" s="3" t="s">
        <v>30</v>
      </c>
      <c r="D196" s="4" t="s">
        <v>33</v>
      </c>
      <c r="E196" s="4" t="s">
        <v>33</v>
      </c>
      <c r="F196" s="3">
        <v>9</v>
      </c>
      <c r="G196" s="6">
        <v>10</v>
      </c>
      <c r="H196" s="10">
        <v>3</v>
      </c>
      <c r="I196" s="6">
        <v>13</v>
      </c>
      <c r="J196" s="6">
        <v>5</v>
      </c>
      <c r="K196" s="6">
        <v>1</v>
      </c>
      <c r="L196" s="6">
        <v>0</v>
      </c>
      <c r="M196" s="4" t="s">
        <v>33</v>
      </c>
      <c r="N196" s="4" t="s">
        <v>33</v>
      </c>
      <c r="O196" s="4" t="s">
        <v>33</v>
      </c>
      <c r="P196" s="4" t="s">
        <v>33</v>
      </c>
      <c r="Q196" s="4" t="s">
        <v>33</v>
      </c>
      <c r="R196" s="4" t="s">
        <v>33</v>
      </c>
      <c r="S196" s="4" t="s">
        <v>33</v>
      </c>
      <c r="T196" s="4" t="s">
        <v>33</v>
      </c>
      <c r="U196" s="4" t="s">
        <v>33</v>
      </c>
      <c r="V196" s="4" t="s">
        <v>33</v>
      </c>
      <c r="W196" s="4" t="s">
        <v>33</v>
      </c>
      <c r="X196" s="4" t="s">
        <v>33</v>
      </c>
      <c r="Y196" s="4" t="s">
        <v>33</v>
      </c>
      <c r="Z196" s="4" t="s">
        <v>33</v>
      </c>
      <c r="AA196" s="4" t="s">
        <v>33</v>
      </c>
      <c r="AB196" s="4" t="s">
        <v>33</v>
      </c>
      <c r="AC196" s="4" t="s">
        <v>33</v>
      </c>
    </row>
    <row r="197" spans="1:29" ht="15.75" customHeight="1" x14ac:dyDescent="0.2">
      <c r="A197" s="3" t="s">
        <v>27</v>
      </c>
      <c r="B197" s="3" t="s">
        <v>6</v>
      </c>
      <c r="C197" s="3" t="s">
        <v>29</v>
      </c>
      <c r="D197" s="4" t="s">
        <v>33</v>
      </c>
      <c r="E197" s="4" t="s">
        <v>33</v>
      </c>
      <c r="F197" s="3">
        <v>2</v>
      </c>
      <c r="G197" s="6">
        <v>3</v>
      </c>
      <c r="H197" s="10">
        <v>11</v>
      </c>
      <c r="I197" s="6">
        <v>19</v>
      </c>
      <c r="J197" s="6">
        <v>4</v>
      </c>
      <c r="K197" s="6">
        <v>6</v>
      </c>
      <c r="L197" s="6">
        <v>1</v>
      </c>
      <c r="M197" s="4" t="s">
        <v>33</v>
      </c>
      <c r="N197" s="4" t="s">
        <v>33</v>
      </c>
      <c r="O197" s="4" t="s">
        <v>33</v>
      </c>
      <c r="P197" s="4" t="s">
        <v>33</v>
      </c>
      <c r="Q197" s="4" t="s">
        <v>33</v>
      </c>
      <c r="R197" s="4" t="s">
        <v>33</v>
      </c>
      <c r="S197" s="4" t="s">
        <v>33</v>
      </c>
      <c r="T197" s="4" t="s">
        <v>33</v>
      </c>
      <c r="U197" s="4" t="s">
        <v>33</v>
      </c>
      <c r="V197" s="4" t="s">
        <v>33</v>
      </c>
      <c r="W197" s="4" t="s">
        <v>33</v>
      </c>
      <c r="X197" s="4" t="s">
        <v>33</v>
      </c>
      <c r="Y197" s="4" t="s">
        <v>33</v>
      </c>
      <c r="Z197" s="4" t="s">
        <v>33</v>
      </c>
      <c r="AA197" s="4" t="s">
        <v>33</v>
      </c>
      <c r="AB197" s="4" t="s">
        <v>33</v>
      </c>
      <c r="AC197" s="4" t="s">
        <v>33</v>
      </c>
    </row>
    <row r="198" spans="1:29" ht="15.75" customHeight="1" x14ac:dyDescent="0.2">
      <c r="A198" s="3" t="s">
        <v>27</v>
      </c>
      <c r="B198" s="3" t="s">
        <v>6</v>
      </c>
      <c r="C198" s="3" t="s">
        <v>30</v>
      </c>
      <c r="D198" s="4" t="s">
        <v>33</v>
      </c>
      <c r="E198" s="4" t="s">
        <v>33</v>
      </c>
      <c r="F198" s="3">
        <v>1</v>
      </c>
      <c r="G198" s="6">
        <v>11</v>
      </c>
      <c r="H198" s="10">
        <v>14</v>
      </c>
      <c r="I198" s="6">
        <v>12</v>
      </c>
      <c r="J198" s="6">
        <v>0</v>
      </c>
      <c r="K198" s="6">
        <v>0</v>
      </c>
      <c r="L198" s="6">
        <v>0</v>
      </c>
      <c r="M198" s="4" t="s">
        <v>33</v>
      </c>
      <c r="N198" s="4" t="s">
        <v>33</v>
      </c>
      <c r="O198" s="4" t="s">
        <v>33</v>
      </c>
      <c r="P198" s="4" t="s">
        <v>33</v>
      </c>
      <c r="Q198" s="4" t="s">
        <v>33</v>
      </c>
      <c r="R198" s="4" t="s">
        <v>33</v>
      </c>
      <c r="S198" s="4" t="s">
        <v>33</v>
      </c>
      <c r="T198" s="4" t="s">
        <v>33</v>
      </c>
      <c r="U198" s="4" t="s">
        <v>33</v>
      </c>
      <c r="V198" s="4" t="s">
        <v>33</v>
      </c>
      <c r="W198" s="4" t="s">
        <v>33</v>
      </c>
      <c r="X198" s="4" t="s">
        <v>33</v>
      </c>
      <c r="Y198" s="4" t="s">
        <v>33</v>
      </c>
      <c r="Z198" s="4" t="s">
        <v>33</v>
      </c>
      <c r="AA198" s="4" t="s">
        <v>33</v>
      </c>
      <c r="AB198" s="4" t="s">
        <v>33</v>
      </c>
      <c r="AC198" s="4" t="s">
        <v>33</v>
      </c>
    </row>
    <row r="199" spans="1:29" ht="15.75" customHeight="1" x14ac:dyDescent="0.2">
      <c r="A199" s="3" t="s">
        <v>27</v>
      </c>
      <c r="B199" s="3" t="s">
        <v>7</v>
      </c>
      <c r="C199" s="3" t="s">
        <v>29</v>
      </c>
      <c r="D199" s="4" t="s">
        <v>33</v>
      </c>
      <c r="E199" s="4" t="s">
        <v>33</v>
      </c>
      <c r="F199" s="3">
        <v>0</v>
      </c>
      <c r="G199" s="6">
        <v>4</v>
      </c>
      <c r="H199" s="10">
        <v>14</v>
      </c>
      <c r="I199" s="6">
        <v>9</v>
      </c>
      <c r="J199" s="6">
        <v>2</v>
      </c>
      <c r="K199" s="6">
        <v>1</v>
      </c>
      <c r="L199" s="4" t="s">
        <v>33</v>
      </c>
      <c r="M199" s="4" t="s">
        <v>33</v>
      </c>
      <c r="N199" s="4" t="s">
        <v>33</v>
      </c>
      <c r="O199" s="4" t="s">
        <v>33</v>
      </c>
      <c r="P199" s="4" t="s">
        <v>33</v>
      </c>
      <c r="Q199" s="4" t="s">
        <v>33</v>
      </c>
      <c r="R199" s="4" t="s">
        <v>33</v>
      </c>
      <c r="S199" s="4" t="s">
        <v>33</v>
      </c>
      <c r="T199" s="4" t="s">
        <v>33</v>
      </c>
      <c r="U199" s="4" t="s">
        <v>33</v>
      </c>
      <c r="V199" s="4" t="s">
        <v>33</v>
      </c>
      <c r="W199" s="4" t="s">
        <v>33</v>
      </c>
      <c r="X199" s="4" t="s">
        <v>33</v>
      </c>
      <c r="Y199" s="4" t="s">
        <v>33</v>
      </c>
      <c r="Z199" s="4" t="s">
        <v>33</v>
      </c>
      <c r="AA199" s="4" t="s">
        <v>33</v>
      </c>
      <c r="AB199" s="4" t="s">
        <v>33</v>
      </c>
      <c r="AC199" s="4" t="s">
        <v>33</v>
      </c>
    </row>
    <row r="200" spans="1:29" ht="15.75" customHeight="1" x14ac:dyDescent="0.2">
      <c r="A200" s="3" t="s">
        <v>27</v>
      </c>
      <c r="B200" s="3" t="s">
        <v>7</v>
      </c>
      <c r="C200" s="3" t="s">
        <v>30</v>
      </c>
      <c r="D200" s="4" t="s">
        <v>33</v>
      </c>
      <c r="E200" s="4" t="s">
        <v>33</v>
      </c>
      <c r="F200" s="3">
        <v>5</v>
      </c>
      <c r="G200" s="6">
        <v>18</v>
      </c>
      <c r="H200" s="10">
        <v>14</v>
      </c>
      <c r="I200" s="6">
        <v>1</v>
      </c>
      <c r="J200" s="6">
        <v>2</v>
      </c>
      <c r="K200" s="6">
        <v>1</v>
      </c>
      <c r="L200" s="4" t="s">
        <v>33</v>
      </c>
      <c r="M200" s="4" t="s">
        <v>33</v>
      </c>
      <c r="N200" s="4" t="s">
        <v>33</v>
      </c>
      <c r="O200" s="4" t="s">
        <v>33</v>
      </c>
      <c r="P200" s="4" t="s">
        <v>33</v>
      </c>
      <c r="Q200" s="4" t="s">
        <v>33</v>
      </c>
      <c r="R200" s="4" t="s">
        <v>33</v>
      </c>
      <c r="S200" s="4" t="s">
        <v>33</v>
      </c>
      <c r="T200" s="4" t="s">
        <v>33</v>
      </c>
      <c r="U200" s="4" t="s">
        <v>33</v>
      </c>
      <c r="V200" s="4" t="s">
        <v>33</v>
      </c>
      <c r="W200" s="4" t="s">
        <v>33</v>
      </c>
      <c r="X200" s="4" t="s">
        <v>33</v>
      </c>
      <c r="Y200" s="4" t="s">
        <v>33</v>
      </c>
      <c r="Z200" s="4" t="s">
        <v>33</v>
      </c>
      <c r="AA200" s="4" t="s">
        <v>33</v>
      </c>
      <c r="AB200" s="4" t="s">
        <v>33</v>
      </c>
      <c r="AC200" s="4" t="s">
        <v>33</v>
      </c>
    </row>
    <row r="201" spans="1:29" ht="15.75" customHeight="1" x14ac:dyDescent="0.2">
      <c r="A201" s="3" t="s">
        <v>27</v>
      </c>
      <c r="B201" s="3" t="s">
        <v>8</v>
      </c>
      <c r="C201" s="3" t="s">
        <v>29</v>
      </c>
      <c r="D201" s="4" t="s">
        <v>33</v>
      </c>
      <c r="E201" s="4" t="s">
        <v>33</v>
      </c>
      <c r="F201" s="3">
        <v>0</v>
      </c>
      <c r="G201" s="6">
        <v>6</v>
      </c>
      <c r="H201" s="10">
        <v>12</v>
      </c>
      <c r="I201" s="6">
        <v>6</v>
      </c>
      <c r="J201" s="6">
        <v>1</v>
      </c>
      <c r="K201" s="4" t="s">
        <v>33</v>
      </c>
      <c r="L201" s="4" t="s">
        <v>33</v>
      </c>
      <c r="M201" s="3">
        <v>1</v>
      </c>
      <c r="N201" s="4" t="s">
        <v>33</v>
      </c>
      <c r="O201" s="4" t="s">
        <v>33</v>
      </c>
      <c r="P201" s="4" t="s">
        <v>33</v>
      </c>
      <c r="Q201" s="4" t="s">
        <v>33</v>
      </c>
      <c r="R201" s="4" t="s">
        <v>33</v>
      </c>
      <c r="S201" s="4" t="s">
        <v>33</v>
      </c>
      <c r="T201" s="4" t="s">
        <v>33</v>
      </c>
      <c r="U201" s="4" t="s">
        <v>33</v>
      </c>
      <c r="V201" s="4" t="s">
        <v>33</v>
      </c>
      <c r="W201" s="4" t="s">
        <v>33</v>
      </c>
      <c r="X201" s="4" t="s">
        <v>33</v>
      </c>
      <c r="Y201" s="4" t="s">
        <v>33</v>
      </c>
      <c r="Z201" s="4" t="s">
        <v>33</v>
      </c>
      <c r="AA201" s="4" t="s">
        <v>33</v>
      </c>
      <c r="AB201" s="4" t="s">
        <v>33</v>
      </c>
      <c r="AC201" s="4" t="s">
        <v>33</v>
      </c>
    </row>
    <row r="202" spans="1:29" ht="15.75" customHeight="1" x14ac:dyDescent="0.2">
      <c r="A202" s="3" t="s">
        <v>27</v>
      </c>
      <c r="B202" s="3" t="s">
        <v>8</v>
      </c>
      <c r="C202" s="3" t="s">
        <v>30</v>
      </c>
      <c r="D202" s="4" t="s">
        <v>33</v>
      </c>
      <c r="E202" s="4" t="s">
        <v>33</v>
      </c>
      <c r="F202" s="3">
        <v>7</v>
      </c>
      <c r="G202" s="6">
        <v>10</v>
      </c>
      <c r="H202" s="10">
        <v>7</v>
      </c>
      <c r="I202" s="6">
        <v>6</v>
      </c>
      <c r="J202" s="6">
        <v>1</v>
      </c>
      <c r="K202" s="4" t="s">
        <v>33</v>
      </c>
      <c r="L202" s="4" t="s">
        <v>33</v>
      </c>
      <c r="M202" s="3">
        <v>0</v>
      </c>
      <c r="N202" s="4" t="s">
        <v>33</v>
      </c>
      <c r="O202" s="4" t="s">
        <v>33</v>
      </c>
      <c r="P202" s="4" t="s">
        <v>33</v>
      </c>
      <c r="Q202" s="4" t="s">
        <v>33</v>
      </c>
      <c r="R202" s="4" t="s">
        <v>33</v>
      </c>
      <c r="S202" s="4" t="s">
        <v>33</v>
      </c>
      <c r="T202" s="4" t="s">
        <v>33</v>
      </c>
      <c r="U202" s="4" t="s">
        <v>33</v>
      </c>
      <c r="V202" s="4" t="s">
        <v>33</v>
      </c>
      <c r="W202" s="4" t="s">
        <v>33</v>
      </c>
      <c r="X202" s="4" t="s">
        <v>33</v>
      </c>
      <c r="Y202" s="4" t="s">
        <v>33</v>
      </c>
      <c r="Z202" s="4" t="s">
        <v>33</v>
      </c>
      <c r="AA202" s="4" t="s">
        <v>33</v>
      </c>
      <c r="AB202" s="4" t="s">
        <v>33</v>
      </c>
      <c r="AC202" s="4" t="s">
        <v>33</v>
      </c>
    </row>
    <row r="203" spans="1:29" ht="15.75" customHeight="1" x14ac:dyDescent="0.2">
      <c r="T203" s="4"/>
      <c r="U203" s="6"/>
      <c r="V203" s="6"/>
      <c r="W203" s="4"/>
      <c r="X203" s="6"/>
      <c r="Y203" s="6"/>
      <c r="Z203" s="6"/>
      <c r="AA203" s="6"/>
      <c r="AB203" s="6"/>
      <c r="AC203" s="6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A604-8716-4295-9464-6E1440EF241C}">
  <dimension ref="A1:BG203"/>
  <sheetViews>
    <sheetView workbookViewId="0">
      <selection activeCell="BF31" sqref="BF31"/>
    </sheetView>
  </sheetViews>
  <sheetFormatPr defaultRowHeight="12.75" x14ac:dyDescent="0.2"/>
  <cols>
    <col min="4" max="4" width="0" hidden="1" customWidth="1"/>
    <col min="5" max="5" width="0" style="14" hidden="1" customWidth="1"/>
    <col min="6" max="6" width="0" hidden="1" customWidth="1"/>
    <col min="7" max="7" width="0" style="14" hidden="1" customWidth="1"/>
    <col min="8" max="8" width="0" hidden="1" customWidth="1"/>
    <col min="9" max="9" width="0" style="14" hidden="1" customWidth="1"/>
    <col min="10" max="10" width="0" hidden="1" customWidth="1"/>
    <col min="11" max="11" width="0" style="14" hidden="1" customWidth="1"/>
    <col min="12" max="12" width="0" hidden="1" customWidth="1"/>
    <col min="13" max="13" width="0" style="14" hidden="1" customWidth="1"/>
    <col min="14" max="14" width="0" hidden="1" customWidth="1"/>
    <col min="15" max="15" width="0" style="14" hidden="1" customWidth="1"/>
    <col min="16" max="16" width="0" hidden="1" customWidth="1"/>
    <col min="17" max="17" width="0" style="14" hidden="1" customWidth="1"/>
    <col min="18" max="18" width="0" hidden="1" customWidth="1"/>
    <col min="19" max="19" width="0" style="14" hidden="1" customWidth="1"/>
    <col min="20" max="20" width="0" hidden="1" customWidth="1"/>
    <col min="21" max="21" width="0" style="14" hidden="1" customWidth="1"/>
    <col min="22" max="22" width="0" hidden="1" customWidth="1"/>
    <col min="23" max="23" width="0" style="14" hidden="1" customWidth="1"/>
    <col min="24" max="24" width="0" hidden="1" customWidth="1"/>
    <col min="25" max="25" width="0" style="14" hidden="1" customWidth="1"/>
    <col min="26" max="26" width="0" hidden="1" customWidth="1"/>
    <col min="27" max="27" width="0" style="14" hidden="1" customWidth="1"/>
    <col min="28" max="28" width="0" hidden="1" customWidth="1"/>
    <col min="29" max="29" width="0" style="14" hidden="1" customWidth="1"/>
    <col min="30" max="30" width="0" hidden="1" customWidth="1"/>
    <col min="31" max="31" width="0" style="14" hidden="1" customWidth="1"/>
    <col min="32" max="32" width="0" hidden="1" customWidth="1"/>
    <col min="33" max="33" width="0" style="14" hidden="1" customWidth="1"/>
    <col min="34" max="34" width="0" hidden="1" customWidth="1"/>
    <col min="35" max="35" width="0" style="14" hidden="1" customWidth="1"/>
    <col min="36" max="36" width="0" hidden="1" customWidth="1"/>
    <col min="37" max="37" width="0" style="14" hidden="1" customWidth="1"/>
    <col min="38" max="38" width="0" hidden="1" customWidth="1"/>
    <col min="39" max="39" width="0" style="14" hidden="1" customWidth="1"/>
    <col min="40" max="40" width="0" hidden="1" customWidth="1"/>
    <col min="41" max="41" width="0" style="14" hidden="1" customWidth="1"/>
    <col min="42" max="42" width="0" hidden="1" customWidth="1"/>
    <col min="43" max="43" width="0" style="14" hidden="1" customWidth="1"/>
    <col min="44" max="44" width="0" hidden="1" customWidth="1"/>
    <col min="45" max="45" width="0" style="14" hidden="1" customWidth="1"/>
    <col min="46" max="46" width="0" hidden="1" customWidth="1"/>
    <col min="47" max="47" width="0" style="14" hidden="1" customWidth="1"/>
    <col min="48" max="48" width="0" hidden="1" customWidth="1"/>
    <col min="49" max="49" width="0" style="14" hidden="1" customWidth="1"/>
    <col min="50" max="50" width="0" hidden="1" customWidth="1"/>
    <col min="51" max="51" width="0" style="14" hidden="1" customWidth="1"/>
    <col min="52" max="52" width="0" hidden="1" customWidth="1"/>
    <col min="53" max="53" width="0" style="14" hidden="1" customWidth="1"/>
    <col min="54" max="54" width="0" hidden="1" customWidth="1"/>
    <col min="55" max="55" width="0" style="14" hidden="1" customWidth="1"/>
    <col min="56" max="56" width="0" hidden="1" customWidth="1"/>
    <col min="57" max="57" width="16.42578125" hidden="1" customWidth="1"/>
    <col min="58" max="58" width="25.85546875" customWidth="1"/>
    <col min="59" max="59" width="0" hidden="1" customWidth="1"/>
  </cols>
  <sheetData>
    <row r="1" spans="1:59" x14ac:dyDescent="0.2">
      <c r="A1" t="s">
        <v>76</v>
      </c>
      <c r="D1">
        <v>168</v>
      </c>
      <c r="F1">
        <v>174</v>
      </c>
      <c r="H1">
        <v>180</v>
      </c>
      <c r="J1">
        <v>186</v>
      </c>
      <c r="L1">
        <v>192</v>
      </c>
      <c r="N1">
        <v>198</v>
      </c>
      <c r="P1">
        <v>204</v>
      </c>
      <c r="R1">
        <v>210</v>
      </c>
      <c r="T1">
        <v>216</v>
      </c>
      <c r="V1">
        <v>222</v>
      </c>
      <c r="X1">
        <v>228</v>
      </c>
      <c r="Z1">
        <v>234</v>
      </c>
      <c r="AB1">
        <v>240</v>
      </c>
      <c r="AD1">
        <v>246</v>
      </c>
      <c r="AF1">
        <v>252</v>
      </c>
      <c r="AH1">
        <v>258</v>
      </c>
      <c r="AJ1">
        <v>264</v>
      </c>
      <c r="AL1">
        <v>270</v>
      </c>
      <c r="AN1">
        <v>276</v>
      </c>
      <c r="AP1">
        <v>282</v>
      </c>
      <c r="AR1">
        <v>288</v>
      </c>
      <c r="AT1">
        <v>294</v>
      </c>
      <c r="AV1">
        <v>300</v>
      </c>
      <c r="AX1">
        <v>324</v>
      </c>
      <c r="AZ1">
        <v>336</v>
      </c>
      <c r="BB1">
        <v>354</v>
      </c>
      <c r="BD1" s="13" t="s">
        <v>77</v>
      </c>
      <c r="BE1" s="13" t="s">
        <v>78</v>
      </c>
      <c r="BF1" s="13" t="s">
        <v>79</v>
      </c>
    </row>
    <row r="2" spans="1:59" x14ac:dyDescent="0.2">
      <c r="A2" t="s">
        <v>0</v>
      </c>
      <c r="B2" t="s">
        <v>1</v>
      </c>
      <c r="C2" t="s">
        <v>28</v>
      </c>
      <c r="D2" t="s">
        <v>60</v>
      </c>
      <c r="F2" t="s">
        <v>61</v>
      </c>
      <c r="H2" t="s">
        <v>62</v>
      </c>
      <c r="J2" t="s">
        <v>71</v>
      </c>
      <c r="L2" t="s">
        <v>69</v>
      </c>
      <c r="N2" t="s">
        <v>48</v>
      </c>
      <c r="P2" t="s">
        <v>65</v>
      </c>
      <c r="R2" t="s">
        <v>66</v>
      </c>
      <c r="T2" t="s">
        <v>74</v>
      </c>
      <c r="V2" t="s">
        <v>40</v>
      </c>
      <c r="X2" t="s">
        <v>39</v>
      </c>
      <c r="Z2" t="s">
        <v>42</v>
      </c>
      <c r="AB2" t="s">
        <v>44</v>
      </c>
      <c r="AD2" t="s">
        <v>34</v>
      </c>
      <c r="AF2" t="s">
        <v>35</v>
      </c>
      <c r="AH2" t="s">
        <v>38</v>
      </c>
      <c r="AJ2" t="s">
        <v>31</v>
      </c>
      <c r="AL2" t="s">
        <v>58</v>
      </c>
      <c r="AN2" t="s">
        <v>56</v>
      </c>
      <c r="AP2" t="s">
        <v>52</v>
      </c>
      <c r="AR2" t="s">
        <v>54</v>
      </c>
      <c r="AT2" t="s">
        <v>57</v>
      </c>
      <c r="AV2" t="s">
        <v>47</v>
      </c>
      <c r="AX2" t="s">
        <v>46</v>
      </c>
      <c r="AZ2" t="s">
        <v>59</v>
      </c>
      <c r="BB2" t="s">
        <v>49</v>
      </c>
      <c r="BG2" t="s">
        <v>2</v>
      </c>
    </row>
    <row r="3" spans="1:59" x14ac:dyDescent="0.2">
      <c r="A3" t="s">
        <v>3</v>
      </c>
      <c r="B3" t="s">
        <v>4</v>
      </c>
      <c r="C3" t="s">
        <v>29</v>
      </c>
      <c r="D3">
        <v>0</v>
      </c>
      <c r="E3" s="14">
        <v>0</v>
      </c>
      <c r="F3">
        <v>1</v>
      </c>
      <c r="G3" s="14">
        <f>F3*174</f>
        <v>174</v>
      </c>
      <c r="H3">
        <v>5</v>
      </c>
      <c r="I3" s="14">
        <f>H3*180</f>
        <v>900</v>
      </c>
      <c r="J3">
        <v>30</v>
      </c>
      <c r="K3" s="14">
        <f>J3*186</f>
        <v>5580</v>
      </c>
      <c r="L3">
        <v>24</v>
      </c>
      <c r="M3" s="14">
        <f>L3*192</f>
        <v>4608</v>
      </c>
      <c r="N3">
        <v>10</v>
      </c>
      <c r="O3" s="14">
        <f>N3*198</f>
        <v>1980</v>
      </c>
      <c r="P3">
        <v>2</v>
      </c>
      <c r="Q3" s="14">
        <f>P3*204</f>
        <v>408</v>
      </c>
      <c r="R3" t="s">
        <v>33</v>
      </c>
      <c r="S3" s="14" t="s">
        <v>33</v>
      </c>
      <c r="T3">
        <v>1</v>
      </c>
      <c r="U3" s="14">
        <f>T3*216</f>
        <v>216</v>
      </c>
      <c r="V3" t="s">
        <v>33</v>
      </c>
      <c r="W3" s="14" t="s">
        <v>33</v>
      </c>
      <c r="X3">
        <v>1</v>
      </c>
      <c r="Y3" s="14">
        <f>X3*228</f>
        <v>228</v>
      </c>
      <c r="Z3" t="s">
        <v>33</v>
      </c>
      <c r="AA3" s="14" t="s">
        <v>33</v>
      </c>
      <c r="AB3" t="s">
        <v>33</v>
      </c>
      <c r="AC3" s="14" t="s">
        <v>33</v>
      </c>
      <c r="AD3">
        <v>0</v>
      </c>
      <c r="AE3" s="14">
        <f>AD3*246</f>
        <v>0</v>
      </c>
      <c r="AF3" t="s">
        <v>33</v>
      </c>
      <c r="AG3" s="14" t="s">
        <v>33</v>
      </c>
      <c r="AH3" t="s">
        <v>33</v>
      </c>
      <c r="AI3" s="14" t="s">
        <v>33</v>
      </c>
      <c r="AJ3" t="s">
        <v>33</v>
      </c>
      <c r="AK3" s="14" t="s">
        <v>33</v>
      </c>
      <c r="AL3" t="s">
        <v>33</v>
      </c>
      <c r="AM3" s="14" t="s">
        <v>33</v>
      </c>
      <c r="AN3" t="s">
        <v>33</v>
      </c>
      <c r="AO3" s="14" t="s">
        <v>33</v>
      </c>
      <c r="AP3" t="s">
        <v>33</v>
      </c>
      <c r="AQ3" s="14" t="s">
        <v>33</v>
      </c>
      <c r="AR3" t="s">
        <v>33</v>
      </c>
      <c r="AS3" s="14" t="s">
        <v>33</v>
      </c>
      <c r="AT3" t="s">
        <v>33</v>
      </c>
      <c r="AU3" s="14" t="s">
        <v>33</v>
      </c>
      <c r="AV3" t="s">
        <v>33</v>
      </c>
      <c r="AW3" s="14" t="s">
        <v>33</v>
      </c>
      <c r="AX3" t="s">
        <v>33</v>
      </c>
      <c r="AY3" s="14" t="s">
        <v>33</v>
      </c>
      <c r="AZ3" t="s">
        <v>33</v>
      </c>
      <c r="BA3" s="14" t="s">
        <v>33</v>
      </c>
      <c r="BB3" t="s">
        <v>33</v>
      </c>
      <c r="BC3" s="14" t="s">
        <v>33</v>
      </c>
      <c r="BD3">
        <f>SUM(D3,F3,H3,J3,L3,N3,P3,R3,T3,V3,X3,Z3,AB3,AD3,AF3,AH3,AJ3,AL3,AN3,AP3,AR3,AT3,AV3,AX3,AZ3,BB3)</f>
        <v>74</v>
      </c>
      <c r="BE3">
        <f>SUM(E3,G3,I3,K3,M3,O3,Q3,S3,U3,W3,Y3,AA3,AC3,AE3,AG3,AI3,AK3,AM3,AO3,AQ3,AS3,AU3,AW3,AY3,BA3,BC3)</f>
        <v>14094</v>
      </c>
      <c r="BF3">
        <f>BE3/BD3</f>
        <v>190.45945945945945</v>
      </c>
      <c r="BG3" t="s">
        <v>64</v>
      </c>
    </row>
    <row r="4" spans="1:59" x14ac:dyDescent="0.2">
      <c r="A4" t="s">
        <v>3</v>
      </c>
      <c r="B4" t="s">
        <v>4</v>
      </c>
      <c r="C4" t="s">
        <v>30</v>
      </c>
      <c r="D4">
        <v>1</v>
      </c>
      <c r="E4" s="14">
        <v>168</v>
      </c>
      <c r="F4">
        <v>4</v>
      </c>
      <c r="G4" s="14">
        <f t="shared" ref="G4:G66" si="0">F4*174</f>
        <v>696</v>
      </c>
      <c r="H4">
        <v>25</v>
      </c>
      <c r="I4" s="14">
        <f t="shared" ref="I4:I67" si="1">H4*180</f>
        <v>4500</v>
      </c>
      <c r="J4">
        <v>21</v>
      </c>
      <c r="K4" s="14">
        <f t="shared" ref="K4:K67" si="2">J4*186</f>
        <v>3906</v>
      </c>
      <c r="L4">
        <v>7</v>
      </c>
      <c r="M4" s="14">
        <f t="shared" ref="M4:M67" si="3">L4*192</f>
        <v>1344</v>
      </c>
      <c r="N4">
        <v>1</v>
      </c>
      <c r="O4" s="14">
        <f t="shared" ref="O4:O67" si="4">N4*198</f>
        <v>198</v>
      </c>
      <c r="P4">
        <v>0</v>
      </c>
      <c r="Q4" s="14">
        <f t="shared" ref="Q4:Q67" si="5">P4*204</f>
        <v>0</v>
      </c>
      <c r="R4" t="s">
        <v>33</v>
      </c>
      <c r="S4" s="14" t="s">
        <v>33</v>
      </c>
      <c r="T4">
        <v>0</v>
      </c>
      <c r="U4" s="14">
        <f>T4*216</f>
        <v>0</v>
      </c>
      <c r="V4" t="s">
        <v>33</v>
      </c>
      <c r="W4" s="14" t="s">
        <v>33</v>
      </c>
      <c r="X4">
        <v>0</v>
      </c>
      <c r="Y4" s="14">
        <f>X4*228</f>
        <v>0</v>
      </c>
      <c r="Z4" t="s">
        <v>33</v>
      </c>
      <c r="AA4" s="14" t="s">
        <v>33</v>
      </c>
      <c r="AB4" t="s">
        <v>33</v>
      </c>
      <c r="AC4" s="14" t="s">
        <v>33</v>
      </c>
      <c r="AD4">
        <v>1</v>
      </c>
      <c r="AE4" s="14">
        <f>AD4*246</f>
        <v>246</v>
      </c>
      <c r="AF4" t="s">
        <v>33</v>
      </c>
      <c r="AG4" s="14" t="s">
        <v>33</v>
      </c>
      <c r="AH4" t="s">
        <v>33</v>
      </c>
      <c r="AI4" s="14" t="s">
        <v>33</v>
      </c>
      <c r="AJ4" t="s">
        <v>33</v>
      </c>
      <c r="AK4" s="14" t="s">
        <v>33</v>
      </c>
      <c r="AL4" t="s">
        <v>33</v>
      </c>
      <c r="AM4" s="14" t="s">
        <v>33</v>
      </c>
      <c r="AN4" t="s">
        <v>33</v>
      </c>
      <c r="AO4" s="14" t="s">
        <v>33</v>
      </c>
      <c r="AP4" t="s">
        <v>33</v>
      </c>
      <c r="AQ4" s="14" t="s">
        <v>33</v>
      </c>
      <c r="AR4" t="s">
        <v>33</v>
      </c>
      <c r="AS4" s="14" t="s">
        <v>33</v>
      </c>
      <c r="AT4" t="s">
        <v>33</v>
      </c>
      <c r="AU4" s="14" t="s">
        <v>33</v>
      </c>
      <c r="AV4" t="s">
        <v>33</v>
      </c>
      <c r="AW4" s="14" t="s">
        <v>33</v>
      </c>
      <c r="AX4" t="s">
        <v>33</v>
      </c>
      <c r="AY4" s="14" t="s">
        <v>33</v>
      </c>
      <c r="AZ4" t="s">
        <v>33</v>
      </c>
      <c r="BA4" s="14" t="s">
        <v>33</v>
      </c>
      <c r="BB4" t="s">
        <v>33</v>
      </c>
      <c r="BC4" s="14" t="s">
        <v>33</v>
      </c>
      <c r="BD4">
        <f t="shared" ref="BD4:BD67" si="6">SUM(D4,F4,H4,J4,L4,N4,P4,R4,T4,V4,X4,Z4,AB4,AD4,AF4,AH4,AJ4,AL4,AN4,AP4,AR4,AT4,AV4,AX4,AZ4,BB4)</f>
        <v>60</v>
      </c>
      <c r="BE4">
        <f t="shared" ref="BE4:BE67" si="7">SUM(E4,G4,I4,K4,M4,O4,Q4,S4,U4,W4,Y4,AA4,AC4,AE4,AG4,AI4,AK4,AM4,AO4,AQ4,AS4,AU4,AW4,AY4,BA4,BC4)</f>
        <v>11058</v>
      </c>
      <c r="BF4">
        <f t="shared" ref="BF4:BF67" si="8">BE4/BD4</f>
        <v>184.3</v>
      </c>
    </row>
    <row r="5" spans="1:59" x14ac:dyDescent="0.2">
      <c r="A5" t="s">
        <v>3</v>
      </c>
      <c r="B5" t="s">
        <v>5</v>
      </c>
      <c r="C5" t="s">
        <v>29</v>
      </c>
      <c r="D5">
        <v>0</v>
      </c>
      <c r="E5" s="14">
        <v>0</v>
      </c>
      <c r="F5">
        <v>0</v>
      </c>
      <c r="G5" s="14">
        <f t="shared" si="0"/>
        <v>0</v>
      </c>
      <c r="H5">
        <v>4</v>
      </c>
      <c r="I5" s="14">
        <f t="shared" si="1"/>
        <v>720</v>
      </c>
      <c r="J5">
        <v>34</v>
      </c>
      <c r="K5" s="14">
        <f t="shared" si="2"/>
        <v>6324</v>
      </c>
      <c r="L5">
        <v>4</v>
      </c>
      <c r="M5" s="14">
        <f t="shared" si="3"/>
        <v>768</v>
      </c>
      <c r="N5">
        <v>10</v>
      </c>
      <c r="O5" s="14">
        <f t="shared" si="4"/>
        <v>1980</v>
      </c>
      <c r="P5">
        <v>0</v>
      </c>
      <c r="Q5" s="14">
        <f t="shared" si="5"/>
        <v>0</v>
      </c>
      <c r="R5" t="s">
        <v>33</v>
      </c>
      <c r="S5" s="14" t="s">
        <v>33</v>
      </c>
      <c r="T5" t="s">
        <v>33</v>
      </c>
      <c r="U5" s="14" t="s">
        <v>33</v>
      </c>
      <c r="V5" t="s">
        <v>33</v>
      </c>
      <c r="W5" s="14" t="s">
        <v>33</v>
      </c>
      <c r="X5" t="s">
        <v>33</v>
      </c>
      <c r="Y5" s="14" t="s">
        <v>33</v>
      </c>
      <c r="Z5" t="s">
        <v>33</v>
      </c>
      <c r="AA5" s="14" t="s">
        <v>33</v>
      </c>
      <c r="AB5" t="s">
        <v>33</v>
      </c>
      <c r="AC5" s="14" t="s">
        <v>33</v>
      </c>
      <c r="AD5" t="s">
        <v>33</v>
      </c>
      <c r="AE5" s="14" t="s">
        <v>33</v>
      </c>
      <c r="AF5" t="s">
        <v>33</v>
      </c>
      <c r="AG5" s="14" t="s">
        <v>33</v>
      </c>
      <c r="AH5" t="s">
        <v>33</v>
      </c>
      <c r="AI5" s="14" t="s">
        <v>33</v>
      </c>
      <c r="AJ5">
        <v>1</v>
      </c>
      <c r="AK5" s="14">
        <f>AJ5*264</f>
        <v>264</v>
      </c>
      <c r="AL5">
        <v>1</v>
      </c>
      <c r="AM5" s="14">
        <f>AL5*270</f>
        <v>270</v>
      </c>
      <c r="AN5" t="s">
        <v>33</v>
      </c>
      <c r="AO5" s="14" t="s">
        <v>33</v>
      </c>
      <c r="AP5" t="s">
        <v>33</v>
      </c>
      <c r="AQ5" s="14" t="s">
        <v>33</v>
      </c>
      <c r="AR5" t="s">
        <v>33</v>
      </c>
      <c r="AS5" s="14" t="s">
        <v>33</v>
      </c>
      <c r="AT5" t="s">
        <v>33</v>
      </c>
      <c r="AU5" s="14" t="s">
        <v>33</v>
      </c>
      <c r="AV5" t="s">
        <v>33</v>
      </c>
      <c r="AW5" s="14" t="s">
        <v>33</v>
      </c>
      <c r="AX5" t="s">
        <v>33</v>
      </c>
      <c r="AY5" s="14" t="s">
        <v>33</v>
      </c>
      <c r="AZ5" t="s">
        <v>33</v>
      </c>
      <c r="BA5" s="14" t="s">
        <v>33</v>
      </c>
      <c r="BB5" t="s">
        <v>33</v>
      </c>
      <c r="BC5" s="14" t="s">
        <v>33</v>
      </c>
      <c r="BD5">
        <f t="shared" si="6"/>
        <v>54</v>
      </c>
      <c r="BE5">
        <f t="shared" si="7"/>
        <v>10326</v>
      </c>
      <c r="BF5">
        <f t="shared" si="8"/>
        <v>191.22222222222223</v>
      </c>
      <c r="BG5" t="s">
        <v>72</v>
      </c>
    </row>
    <row r="6" spans="1:59" x14ac:dyDescent="0.2">
      <c r="A6" t="s">
        <v>3</v>
      </c>
      <c r="B6" t="s">
        <v>5</v>
      </c>
      <c r="C6" t="s">
        <v>30</v>
      </c>
      <c r="D6">
        <v>1</v>
      </c>
      <c r="E6" s="14">
        <v>168</v>
      </c>
      <c r="F6">
        <v>6</v>
      </c>
      <c r="G6" s="14">
        <f t="shared" si="0"/>
        <v>1044</v>
      </c>
      <c r="H6">
        <v>30</v>
      </c>
      <c r="I6" s="14">
        <f t="shared" si="1"/>
        <v>5400</v>
      </c>
      <c r="J6">
        <v>14</v>
      </c>
      <c r="K6" s="14">
        <f t="shared" si="2"/>
        <v>2604</v>
      </c>
      <c r="L6">
        <v>1</v>
      </c>
      <c r="M6" s="14">
        <f t="shared" si="3"/>
        <v>192</v>
      </c>
      <c r="N6">
        <v>0</v>
      </c>
      <c r="O6" s="14">
        <f t="shared" si="4"/>
        <v>0</v>
      </c>
      <c r="P6">
        <v>1</v>
      </c>
      <c r="Q6" s="14">
        <f t="shared" si="5"/>
        <v>204</v>
      </c>
      <c r="R6" t="s">
        <v>33</v>
      </c>
      <c r="S6" s="14" t="s">
        <v>33</v>
      </c>
      <c r="T6" t="s">
        <v>33</v>
      </c>
      <c r="U6" s="14" t="s">
        <v>33</v>
      </c>
      <c r="V6" t="s">
        <v>33</v>
      </c>
      <c r="W6" s="14" t="s">
        <v>33</v>
      </c>
      <c r="X6" t="s">
        <v>33</v>
      </c>
      <c r="Y6" s="14" t="s">
        <v>33</v>
      </c>
      <c r="Z6" t="s">
        <v>33</v>
      </c>
      <c r="AA6" s="14" t="s">
        <v>33</v>
      </c>
      <c r="AB6" t="s">
        <v>33</v>
      </c>
      <c r="AC6" s="14" t="s">
        <v>33</v>
      </c>
      <c r="AD6" t="s">
        <v>33</v>
      </c>
      <c r="AE6" s="14" t="s">
        <v>33</v>
      </c>
      <c r="AF6" t="s">
        <v>33</v>
      </c>
      <c r="AG6" s="14" t="s">
        <v>33</v>
      </c>
      <c r="AH6" t="s">
        <v>33</v>
      </c>
      <c r="AI6" s="14" t="s">
        <v>33</v>
      </c>
      <c r="AJ6">
        <v>0</v>
      </c>
      <c r="AK6" s="14">
        <f>AJ6*264</f>
        <v>0</v>
      </c>
      <c r="AL6">
        <v>0</v>
      </c>
      <c r="AM6" s="14">
        <f>AL6*270</f>
        <v>0</v>
      </c>
      <c r="AN6" t="s">
        <v>33</v>
      </c>
      <c r="AO6" s="14" t="s">
        <v>33</v>
      </c>
      <c r="AP6" t="s">
        <v>33</v>
      </c>
      <c r="AQ6" s="14" t="s">
        <v>33</v>
      </c>
      <c r="AR6" t="s">
        <v>33</v>
      </c>
      <c r="AS6" s="14" t="s">
        <v>33</v>
      </c>
      <c r="AT6" t="s">
        <v>33</v>
      </c>
      <c r="AU6" s="14" t="s">
        <v>33</v>
      </c>
      <c r="AV6" t="s">
        <v>33</v>
      </c>
      <c r="AW6" s="14" t="s">
        <v>33</v>
      </c>
      <c r="AX6" t="s">
        <v>33</v>
      </c>
      <c r="AY6" s="14" t="s">
        <v>33</v>
      </c>
      <c r="AZ6" t="s">
        <v>33</v>
      </c>
      <c r="BA6" s="14" t="s">
        <v>33</v>
      </c>
      <c r="BB6" t="s">
        <v>33</v>
      </c>
      <c r="BC6" s="14" t="s">
        <v>33</v>
      </c>
      <c r="BD6">
        <f t="shared" si="6"/>
        <v>53</v>
      </c>
      <c r="BE6">
        <f t="shared" si="7"/>
        <v>9612</v>
      </c>
      <c r="BF6">
        <f t="shared" si="8"/>
        <v>181.35849056603774</v>
      </c>
    </row>
    <row r="7" spans="1:59" x14ac:dyDescent="0.2">
      <c r="A7" t="s">
        <v>3</v>
      </c>
      <c r="B7" t="s">
        <v>6</v>
      </c>
      <c r="C7" t="s">
        <v>29</v>
      </c>
      <c r="D7">
        <v>0</v>
      </c>
      <c r="E7" s="14">
        <v>0</v>
      </c>
      <c r="F7" t="s">
        <v>33</v>
      </c>
      <c r="G7" s="14" t="s">
        <v>33</v>
      </c>
      <c r="H7">
        <v>4</v>
      </c>
      <c r="I7" s="14">
        <f t="shared" si="1"/>
        <v>720</v>
      </c>
      <c r="J7">
        <v>15</v>
      </c>
      <c r="K7" s="14">
        <f t="shared" si="2"/>
        <v>2790</v>
      </c>
      <c r="L7">
        <v>13</v>
      </c>
      <c r="M7" s="14">
        <f t="shared" si="3"/>
        <v>2496</v>
      </c>
      <c r="N7">
        <v>19</v>
      </c>
      <c r="O7" s="14">
        <f t="shared" si="4"/>
        <v>3762</v>
      </c>
      <c r="P7">
        <v>10</v>
      </c>
      <c r="Q7" s="14">
        <f t="shared" si="5"/>
        <v>2040</v>
      </c>
      <c r="R7">
        <v>0</v>
      </c>
      <c r="S7" s="14">
        <f t="shared" ref="S7:S67" si="9">R7*210</f>
        <v>0</v>
      </c>
      <c r="T7" t="s">
        <v>33</v>
      </c>
      <c r="U7" s="14" t="s">
        <v>33</v>
      </c>
      <c r="V7">
        <v>2</v>
      </c>
      <c r="W7" s="14">
        <f>V7*222</f>
        <v>444</v>
      </c>
      <c r="X7" t="s">
        <v>33</v>
      </c>
      <c r="Y7" s="14" t="s">
        <v>33</v>
      </c>
      <c r="Z7" t="s">
        <v>33</v>
      </c>
      <c r="AA7" s="14" t="s">
        <v>33</v>
      </c>
      <c r="AB7" t="s">
        <v>33</v>
      </c>
      <c r="AC7" s="14" t="s">
        <v>33</v>
      </c>
      <c r="AD7" t="s">
        <v>33</v>
      </c>
      <c r="AE7" s="14" t="s">
        <v>33</v>
      </c>
      <c r="AF7" t="s">
        <v>33</v>
      </c>
      <c r="AG7" s="14" t="s">
        <v>33</v>
      </c>
      <c r="AH7" t="s">
        <v>33</v>
      </c>
      <c r="AI7" s="14" t="s">
        <v>33</v>
      </c>
      <c r="AJ7" t="s">
        <v>33</v>
      </c>
      <c r="AK7" s="14" t="s">
        <v>33</v>
      </c>
      <c r="AL7" t="s">
        <v>33</v>
      </c>
      <c r="AM7" s="14" t="s">
        <v>33</v>
      </c>
      <c r="AN7" t="s">
        <v>33</v>
      </c>
      <c r="AO7" s="14" t="s">
        <v>33</v>
      </c>
      <c r="AP7" t="s">
        <v>33</v>
      </c>
      <c r="AQ7" s="14" t="s">
        <v>33</v>
      </c>
      <c r="AR7" t="s">
        <v>33</v>
      </c>
      <c r="AS7" s="14" t="s">
        <v>33</v>
      </c>
      <c r="AT7" t="s">
        <v>33</v>
      </c>
      <c r="AU7" s="14" t="s">
        <v>33</v>
      </c>
      <c r="AV7" t="s">
        <v>33</v>
      </c>
      <c r="AW7" s="14" t="s">
        <v>33</v>
      </c>
      <c r="AX7" t="s">
        <v>33</v>
      </c>
      <c r="AY7" s="14" t="s">
        <v>33</v>
      </c>
      <c r="AZ7" t="s">
        <v>33</v>
      </c>
      <c r="BA7" s="14" t="s">
        <v>33</v>
      </c>
      <c r="BB7" t="s">
        <v>33</v>
      </c>
      <c r="BC7" s="14" t="s">
        <v>33</v>
      </c>
      <c r="BD7">
        <f t="shared" si="6"/>
        <v>63</v>
      </c>
      <c r="BE7">
        <f t="shared" si="7"/>
        <v>12252</v>
      </c>
      <c r="BF7">
        <f t="shared" si="8"/>
        <v>194.47619047619048</v>
      </c>
    </row>
    <row r="8" spans="1:59" x14ac:dyDescent="0.2">
      <c r="A8" t="s">
        <v>3</v>
      </c>
      <c r="B8" t="s">
        <v>6</v>
      </c>
      <c r="C8" t="s">
        <v>30</v>
      </c>
      <c r="D8">
        <v>1</v>
      </c>
      <c r="E8" s="14">
        <v>168</v>
      </c>
      <c r="F8" t="s">
        <v>33</v>
      </c>
      <c r="G8" s="14" t="s">
        <v>33</v>
      </c>
      <c r="H8">
        <v>15</v>
      </c>
      <c r="I8" s="14">
        <f t="shared" si="1"/>
        <v>2700</v>
      </c>
      <c r="J8">
        <v>20</v>
      </c>
      <c r="K8" s="14">
        <f t="shared" si="2"/>
        <v>3720</v>
      </c>
      <c r="L8">
        <v>20</v>
      </c>
      <c r="M8" s="14">
        <f t="shared" si="3"/>
        <v>3840</v>
      </c>
      <c r="N8">
        <v>11</v>
      </c>
      <c r="O8" s="14">
        <f t="shared" si="4"/>
        <v>2178</v>
      </c>
      <c r="P8">
        <v>9</v>
      </c>
      <c r="Q8" s="14">
        <f t="shared" si="5"/>
        <v>1836</v>
      </c>
      <c r="R8">
        <v>1</v>
      </c>
      <c r="S8" s="14">
        <f t="shared" si="9"/>
        <v>210</v>
      </c>
      <c r="T8" t="s">
        <v>33</v>
      </c>
      <c r="U8" s="14" t="s">
        <v>33</v>
      </c>
      <c r="V8">
        <v>0</v>
      </c>
      <c r="W8" s="14">
        <f>V8*222</f>
        <v>0</v>
      </c>
      <c r="X8" t="s">
        <v>33</v>
      </c>
      <c r="Y8" s="14" t="s">
        <v>33</v>
      </c>
      <c r="Z8" t="s">
        <v>33</v>
      </c>
      <c r="AA8" s="14" t="s">
        <v>33</v>
      </c>
      <c r="AB8" t="s">
        <v>33</v>
      </c>
      <c r="AC8" s="14" t="s">
        <v>33</v>
      </c>
      <c r="AD8" t="s">
        <v>33</v>
      </c>
      <c r="AE8" s="14" t="s">
        <v>33</v>
      </c>
      <c r="AF8" t="s">
        <v>33</v>
      </c>
      <c r="AG8" s="14" t="s">
        <v>33</v>
      </c>
      <c r="AH8" t="s">
        <v>33</v>
      </c>
      <c r="AI8" s="14" t="s">
        <v>33</v>
      </c>
      <c r="AJ8" t="s">
        <v>33</v>
      </c>
      <c r="AK8" s="14" t="s">
        <v>33</v>
      </c>
      <c r="AL8" t="s">
        <v>33</v>
      </c>
      <c r="AM8" s="14" t="s">
        <v>33</v>
      </c>
      <c r="AN8" t="s">
        <v>33</v>
      </c>
      <c r="AO8" s="14" t="s">
        <v>33</v>
      </c>
      <c r="AP8" t="s">
        <v>33</v>
      </c>
      <c r="AQ8" s="14" t="s">
        <v>33</v>
      </c>
      <c r="AR8" t="s">
        <v>33</v>
      </c>
      <c r="AS8" s="14" t="s">
        <v>33</v>
      </c>
      <c r="AT8" t="s">
        <v>33</v>
      </c>
      <c r="AU8" s="14" t="s">
        <v>33</v>
      </c>
      <c r="AV8" t="s">
        <v>33</v>
      </c>
      <c r="AW8" s="14" t="s">
        <v>33</v>
      </c>
      <c r="AX8" t="s">
        <v>33</v>
      </c>
      <c r="AY8" s="14" t="s">
        <v>33</v>
      </c>
      <c r="AZ8" t="s">
        <v>33</v>
      </c>
      <c r="BA8" s="14" t="s">
        <v>33</v>
      </c>
      <c r="BB8" t="s">
        <v>33</v>
      </c>
      <c r="BC8" s="14" t="s">
        <v>33</v>
      </c>
      <c r="BD8">
        <f t="shared" si="6"/>
        <v>77</v>
      </c>
      <c r="BE8">
        <f t="shared" si="7"/>
        <v>14652</v>
      </c>
      <c r="BF8">
        <f t="shared" si="8"/>
        <v>190.28571428571428</v>
      </c>
    </row>
    <row r="9" spans="1:59" x14ac:dyDescent="0.2">
      <c r="A9" t="s">
        <v>3</v>
      </c>
      <c r="B9" t="s">
        <v>7</v>
      </c>
      <c r="C9" t="s">
        <v>29</v>
      </c>
      <c r="D9" t="s">
        <v>33</v>
      </c>
      <c r="E9" s="14" t="s">
        <v>33</v>
      </c>
      <c r="F9">
        <v>0</v>
      </c>
      <c r="G9" s="14">
        <f t="shared" si="0"/>
        <v>0</v>
      </c>
      <c r="H9">
        <v>8</v>
      </c>
      <c r="I9" s="14">
        <f t="shared" si="1"/>
        <v>1440</v>
      </c>
      <c r="J9">
        <v>28</v>
      </c>
      <c r="K9" s="14">
        <f t="shared" si="2"/>
        <v>5208</v>
      </c>
      <c r="L9">
        <v>14</v>
      </c>
      <c r="M9" s="14">
        <f t="shared" si="3"/>
        <v>2688</v>
      </c>
      <c r="N9">
        <v>9</v>
      </c>
      <c r="O9" s="14">
        <f t="shared" si="4"/>
        <v>1782</v>
      </c>
      <c r="P9">
        <v>1</v>
      </c>
      <c r="Q9" s="14">
        <f t="shared" si="5"/>
        <v>204</v>
      </c>
      <c r="R9">
        <v>1</v>
      </c>
      <c r="S9" s="14">
        <f t="shared" si="9"/>
        <v>210</v>
      </c>
      <c r="T9">
        <v>2</v>
      </c>
      <c r="U9" s="14">
        <f>T9*216</f>
        <v>432</v>
      </c>
      <c r="V9" t="s">
        <v>33</v>
      </c>
      <c r="W9" s="14" t="s">
        <v>33</v>
      </c>
      <c r="X9" t="s">
        <v>33</v>
      </c>
      <c r="Y9" s="14" t="s">
        <v>33</v>
      </c>
      <c r="Z9" t="s">
        <v>33</v>
      </c>
      <c r="AA9" s="14" t="s">
        <v>33</v>
      </c>
      <c r="AB9" t="s">
        <v>33</v>
      </c>
      <c r="AC9" s="14" t="s">
        <v>33</v>
      </c>
      <c r="AD9" t="s">
        <v>33</v>
      </c>
      <c r="AE9" s="14" t="s">
        <v>33</v>
      </c>
      <c r="AF9" t="s">
        <v>33</v>
      </c>
      <c r="AG9" s="14" t="s">
        <v>33</v>
      </c>
      <c r="AH9" t="s">
        <v>33</v>
      </c>
      <c r="AI9" s="14" t="s">
        <v>33</v>
      </c>
      <c r="AJ9" t="s">
        <v>33</v>
      </c>
      <c r="AK9" s="14" t="s">
        <v>33</v>
      </c>
      <c r="AL9" t="s">
        <v>33</v>
      </c>
      <c r="AM9" s="14" t="s">
        <v>33</v>
      </c>
      <c r="AN9" t="s">
        <v>33</v>
      </c>
      <c r="AO9" s="14" t="s">
        <v>33</v>
      </c>
      <c r="AP9" t="s">
        <v>33</v>
      </c>
      <c r="AQ9" s="14" t="s">
        <v>33</v>
      </c>
      <c r="AR9" t="s">
        <v>33</v>
      </c>
      <c r="AS9" s="14" t="s">
        <v>33</v>
      </c>
      <c r="AT9" t="s">
        <v>33</v>
      </c>
      <c r="AU9" s="14" t="s">
        <v>33</v>
      </c>
      <c r="AV9" t="s">
        <v>33</v>
      </c>
      <c r="AW9" s="14" t="s">
        <v>33</v>
      </c>
      <c r="AX9" t="s">
        <v>33</v>
      </c>
      <c r="AY9" s="14" t="s">
        <v>33</v>
      </c>
      <c r="AZ9" t="s">
        <v>33</v>
      </c>
      <c r="BA9" s="14" t="s">
        <v>33</v>
      </c>
      <c r="BB9" t="s">
        <v>33</v>
      </c>
      <c r="BC9" s="14" t="s">
        <v>33</v>
      </c>
      <c r="BD9">
        <f t="shared" si="6"/>
        <v>63</v>
      </c>
      <c r="BE9">
        <f t="shared" si="7"/>
        <v>11964</v>
      </c>
      <c r="BF9">
        <f t="shared" si="8"/>
        <v>189.9047619047619</v>
      </c>
      <c r="BG9" t="s">
        <v>67</v>
      </c>
    </row>
    <row r="10" spans="1:59" x14ac:dyDescent="0.2">
      <c r="A10" t="s">
        <v>3</v>
      </c>
      <c r="B10" t="s">
        <v>7</v>
      </c>
      <c r="C10" t="s">
        <v>30</v>
      </c>
      <c r="D10" t="s">
        <v>33</v>
      </c>
      <c r="E10" s="14" t="s">
        <v>33</v>
      </c>
      <c r="F10">
        <v>1</v>
      </c>
      <c r="G10" s="14">
        <f t="shared" si="0"/>
        <v>174</v>
      </c>
      <c r="H10">
        <v>21</v>
      </c>
      <c r="I10" s="14">
        <f t="shared" si="1"/>
        <v>3780</v>
      </c>
      <c r="J10">
        <v>28</v>
      </c>
      <c r="K10" s="14">
        <f t="shared" si="2"/>
        <v>5208</v>
      </c>
      <c r="L10">
        <v>10</v>
      </c>
      <c r="M10" s="14">
        <f t="shared" si="3"/>
        <v>1920</v>
      </c>
      <c r="N10">
        <v>0</v>
      </c>
      <c r="O10" s="14">
        <f t="shared" si="4"/>
        <v>0</v>
      </c>
      <c r="P10">
        <v>1</v>
      </c>
      <c r="Q10" s="14">
        <f t="shared" si="5"/>
        <v>204</v>
      </c>
      <c r="R10">
        <v>0</v>
      </c>
      <c r="S10" s="14">
        <f t="shared" si="9"/>
        <v>0</v>
      </c>
      <c r="T10">
        <v>0</v>
      </c>
      <c r="U10" s="14">
        <f>T10*216</f>
        <v>0</v>
      </c>
      <c r="V10" t="s">
        <v>33</v>
      </c>
      <c r="W10" s="14" t="s">
        <v>33</v>
      </c>
      <c r="X10" t="s">
        <v>33</v>
      </c>
      <c r="Y10" s="14" t="s">
        <v>33</v>
      </c>
      <c r="Z10" t="s">
        <v>33</v>
      </c>
      <c r="AA10" s="14" t="s">
        <v>33</v>
      </c>
      <c r="AB10" t="s">
        <v>33</v>
      </c>
      <c r="AC10" s="14" t="s">
        <v>33</v>
      </c>
      <c r="AD10" t="s">
        <v>33</v>
      </c>
      <c r="AE10" s="14" t="s">
        <v>33</v>
      </c>
      <c r="AF10" t="s">
        <v>33</v>
      </c>
      <c r="AG10" s="14" t="s">
        <v>33</v>
      </c>
      <c r="AH10" t="s">
        <v>33</v>
      </c>
      <c r="AI10" s="14" t="s">
        <v>33</v>
      </c>
      <c r="AJ10" t="s">
        <v>33</v>
      </c>
      <c r="AK10" s="14" t="s">
        <v>33</v>
      </c>
      <c r="AL10" t="s">
        <v>33</v>
      </c>
      <c r="AM10" s="14" t="s">
        <v>33</v>
      </c>
      <c r="AN10" t="s">
        <v>33</v>
      </c>
      <c r="AO10" s="14" t="s">
        <v>33</v>
      </c>
      <c r="AP10" t="s">
        <v>33</v>
      </c>
      <c r="AQ10" s="14" t="s">
        <v>33</v>
      </c>
      <c r="AR10" t="s">
        <v>33</v>
      </c>
      <c r="AS10" s="14" t="s">
        <v>33</v>
      </c>
      <c r="AT10" t="s">
        <v>33</v>
      </c>
      <c r="AU10" s="14" t="s">
        <v>33</v>
      </c>
      <c r="AV10" t="s">
        <v>33</v>
      </c>
      <c r="AW10" s="14" t="s">
        <v>33</v>
      </c>
      <c r="AX10" t="s">
        <v>33</v>
      </c>
      <c r="AY10" s="14" t="s">
        <v>33</v>
      </c>
      <c r="AZ10" t="s">
        <v>33</v>
      </c>
      <c r="BA10" s="14" t="s">
        <v>33</v>
      </c>
      <c r="BB10" t="s">
        <v>33</v>
      </c>
      <c r="BC10" s="14" t="s">
        <v>33</v>
      </c>
      <c r="BD10">
        <f t="shared" si="6"/>
        <v>61</v>
      </c>
      <c r="BE10">
        <f t="shared" si="7"/>
        <v>11286</v>
      </c>
      <c r="BF10">
        <f t="shared" si="8"/>
        <v>185.01639344262296</v>
      </c>
    </row>
    <row r="11" spans="1:59" x14ac:dyDescent="0.2">
      <c r="A11" t="s">
        <v>3</v>
      </c>
      <c r="B11" t="s">
        <v>8</v>
      </c>
      <c r="C11" t="s">
        <v>29</v>
      </c>
      <c r="D11" t="s">
        <v>33</v>
      </c>
      <c r="E11" s="14" t="s">
        <v>33</v>
      </c>
      <c r="F11">
        <v>1</v>
      </c>
      <c r="G11" s="14">
        <f t="shared" si="0"/>
        <v>174</v>
      </c>
      <c r="H11">
        <v>2</v>
      </c>
      <c r="I11" s="14">
        <f t="shared" si="1"/>
        <v>360</v>
      </c>
      <c r="J11">
        <v>39</v>
      </c>
      <c r="K11" s="14">
        <f t="shared" si="2"/>
        <v>7254</v>
      </c>
      <c r="L11">
        <v>9</v>
      </c>
      <c r="M11" s="14">
        <f t="shared" si="3"/>
        <v>1728</v>
      </c>
      <c r="N11">
        <v>12</v>
      </c>
      <c r="O11" s="14">
        <f t="shared" si="4"/>
        <v>2376</v>
      </c>
      <c r="P11">
        <v>6</v>
      </c>
      <c r="Q11" s="14">
        <f t="shared" si="5"/>
        <v>1224</v>
      </c>
      <c r="R11" t="s">
        <v>33</v>
      </c>
      <c r="S11" s="14" t="s">
        <v>33</v>
      </c>
      <c r="T11">
        <v>0</v>
      </c>
      <c r="U11" s="14">
        <f>T11*216</f>
        <v>0</v>
      </c>
      <c r="V11" t="s">
        <v>33</v>
      </c>
      <c r="W11" s="14" t="s">
        <v>33</v>
      </c>
      <c r="X11">
        <v>1</v>
      </c>
      <c r="Y11" s="14">
        <f>X11*228</f>
        <v>228</v>
      </c>
      <c r="Z11">
        <v>1</v>
      </c>
      <c r="AA11" s="14">
        <f>Z11*234</f>
        <v>234</v>
      </c>
      <c r="AB11" t="s">
        <v>33</v>
      </c>
      <c r="AC11" s="14" t="s">
        <v>33</v>
      </c>
      <c r="AD11" t="s">
        <v>33</v>
      </c>
      <c r="AE11" s="14" t="s">
        <v>33</v>
      </c>
      <c r="AF11" t="s">
        <v>33</v>
      </c>
      <c r="AG11" s="14" t="s">
        <v>33</v>
      </c>
      <c r="AH11">
        <v>0</v>
      </c>
      <c r="AI11" s="14">
        <f>AH11*258</f>
        <v>0</v>
      </c>
      <c r="AJ11" t="s">
        <v>33</v>
      </c>
      <c r="AK11" s="14" t="s">
        <v>33</v>
      </c>
      <c r="AL11" t="s">
        <v>33</v>
      </c>
      <c r="AM11" s="14" t="s">
        <v>33</v>
      </c>
      <c r="AN11" t="s">
        <v>33</v>
      </c>
      <c r="AO11" s="14" t="s">
        <v>33</v>
      </c>
      <c r="AP11" t="s">
        <v>33</v>
      </c>
      <c r="AQ11" s="14" t="s">
        <v>33</v>
      </c>
      <c r="AR11" t="s">
        <v>33</v>
      </c>
      <c r="AS11" s="14" t="s">
        <v>33</v>
      </c>
      <c r="AT11" t="s">
        <v>33</v>
      </c>
      <c r="AU11" s="14" t="s">
        <v>33</v>
      </c>
      <c r="AV11" t="s">
        <v>33</v>
      </c>
      <c r="AW11" s="14" t="s">
        <v>33</v>
      </c>
      <c r="AX11" t="s">
        <v>33</v>
      </c>
      <c r="AY11" s="14" t="s">
        <v>33</v>
      </c>
      <c r="AZ11" t="s">
        <v>33</v>
      </c>
      <c r="BA11" s="14" t="s">
        <v>33</v>
      </c>
      <c r="BB11" t="s">
        <v>33</v>
      </c>
      <c r="BC11" s="14" t="s">
        <v>33</v>
      </c>
      <c r="BD11">
        <f t="shared" si="6"/>
        <v>71</v>
      </c>
      <c r="BE11">
        <f t="shared" si="7"/>
        <v>13578</v>
      </c>
      <c r="BF11">
        <f t="shared" si="8"/>
        <v>191.2394366197183</v>
      </c>
    </row>
    <row r="12" spans="1:59" x14ac:dyDescent="0.2">
      <c r="A12" t="s">
        <v>3</v>
      </c>
      <c r="B12" t="s">
        <v>8</v>
      </c>
      <c r="C12" t="s">
        <v>30</v>
      </c>
      <c r="D12" t="s">
        <v>33</v>
      </c>
      <c r="E12" s="14" t="s">
        <v>33</v>
      </c>
      <c r="F12">
        <v>3</v>
      </c>
      <c r="G12" s="14">
        <f t="shared" si="0"/>
        <v>522</v>
      </c>
      <c r="H12">
        <v>23</v>
      </c>
      <c r="I12" s="14">
        <f t="shared" si="1"/>
        <v>4140</v>
      </c>
      <c r="J12">
        <v>26</v>
      </c>
      <c r="K12" s="14">
        <f t="shared" si="2"/>
        <v>4836</v>
      </c>
      <c r="L12">
        <v>10</v>
      </c>
      <c r="M12" s="14">
        <f t="shared" si="3"/>
        <v>1920</v>
      </c>
      <c r="N12">
        <v>2</v>
      </c>
      <c r="O12" s="14">
        <f t="shared" si="4"/>
        <v>396</v>
      </c>
      <c r="P12">
        <v>3</v>
      </c>
      <c r="Q12" s="14">
        <f t="shared" si="5"/>
        <v>612</v>
      </c>
      <c r="R12" t="s">
        <v>33</v>
      </c>
      <c r="S12" s="14" t="s">
        <v>33</v>
      </c>
      <c r="T12">
        <v>1</v>
      </c>
      <c r="U12" s="14">
        <f>T12*216</f>
        <v>216</v>
      </c>
      <c r="V12" t="s">
        <v>33</v>
      </c>
      <c r="W12" s="14" t="s">
        <v>33</v>
      </c>
      <c r="X12">
        <v>0</v>
      </c>
      <c r="Y12" s="14">
        <f>X12*228</f>
        <v>0</v>
      </c>
      <c r="Z12">
        <v>1</v>
      </c>
      <c r="AA12" s="14">
        <f>Z12*234</f>
        <v>234</v>
      </c>
      <c r="AB12" t="s">
        <v>33</v>
      </c>
      <c r="AC12" s="14" t="s">
        <v>33</v>
      </c>
      <c r="AD12" t="s">
        <v>33</v>
      </c>
      <c r="AE12" s="14" t="s">
        <v>33</v>
      </c>
      <c r="AF12" t="s">
        <v>33</v>
      </c>
      <c r="AG12" s="14" t="s">
        <v>33</v>
      </c>
      <c r="AH12">
        <v>1</v>
      </c>
      <c r="AI12" s="14">
        <f>AH12*258</f>
        <v>258</v>
      </c>
      <c r="AJ12" t="s">
        <v>33</v>
      </c>
      <c r="AK12" s="14" t="s">
        <v>33</v>
      </c>
      <c r="AL12" t="s">
        <v>33</v>
      </c>
      <c r="AM12" s="14" t="s">
        <v>33</v>
      </c>
      <c r="AN12" t="s">
        <v>33</v>
      </c>
      <c r="AO12" s="14" t="s">
        <v>33</v>
      </c>
      <c r="AP12" t="s">
        <v>33</v>
      </c>
      <c r="AQ12" s="14" t="s">
        <v>33</v>
      </c>
      <c r="AR12" t="s">
        <v>33</v>
      </c>
      <c r="AS12" s="14" t="s">
        <v>33</v>
      </c>
      <c r="AT12" t="s">
        <v>33</v>
      </c>
      <c r="AU12" s="14" t="s">
        <v>33</v>
      </c>
      <c r="AV12" t="s">
        <v>33</v>
      </c>
      <c r="AW12" s="14" t="s">
        <v>33</v>
      </c>
      <c r="AX12" t="s">
        <v>33</v>
      </c>
      <c r="AY12" s="14" t="s">
        <v>33</v>
      </c>
      <c r="AZ12" t="s">
        <v>33</v>
      </c>
      <c r="BA12" s="14" t="s">
        <v>33</v>
      </c>
      <c r="BB12" t="s">
        <v>33</v>
      </c>
      <c r="BC12" s="14" t="s">
        <v>33</v>
      </c>
      <c r="BD12">
        <f t="shared" si="6"/>
        <v>70</v>
      </c>
      <c r="BE12">
        <f t="shared" si="7"/>
        <v>13134</v>
      </c>
      <c r="BF12">
        <f t="shared" si="8"/>
        <v>187.62857142857143</v>
      </c>
    </row>
    <row r="13" spans="1:59" x14ac:dyDescent="0.2">
      <c r="A13" t="s">
        <v>9</v>
      </c>
      <c r="B13" t="s">
        <v>4</v>
      </c>
      <c r="C13" t="s">
        <v>29</v>
      </c>
      <c r="D13">
        <v>0</v>
      </c>
      <c r="E13" s="14">
        <v>0</v>
      </c>
      <c r="F13">
        <v>0</v>
      </c>
      <c r="G13" s="14">
        <f t="shared" si="0"/>
        <v>0</v>
      </c>
      <c r="H13">
        <v>12</v>
      </c>
      <c r="I13" s="14">
        <f t="shared" si="1"/>
        <v>2160</v>
      </c>
      <c r="J13">
        <v>27</v>
      </c>
      <c r="K13" s="14">
        <f t="shared" si="2"/>
        <v>5022</v>
      </c>
      <c r="L13">
        <v>5</v>
      </c>
      <c r="M13" s="14">
        <f t="shared" si="3"/>
        <v>960</v>
      </c>
      <c r="N13" t="s">
        <v>33</v>
      </c>
      <c r="O13" s="14" t="s">
        <v>33</v>
      </c>
      <c r="P13">
        <v>1</v>
      </c>
      <c r="Q13" s="14">
        <f t="shared" si="5"/>
        <v>204</v>
      </c>
      <c r="R13" t="s">
        <v>33</v>
      </c>
      <c r="S13" s="14" t="s">
        <v>33</v>
      </c>
      <c r="T13" t="s">
        <v>33</v>
      </c>
      <c r="U13" s="14" t="s">
        <v>33</v>
      </c>
      <c r="V13" t="s">
        <v>33</v>
      </c>
      <c r="W13" s="14" t="s">
        <v>33</v>
      </c>
      <c r="X13" t="s">
        <v>33</v>
      </c>
      <c r="Y13" s="14" t="s">
        <v>33</v>
      </c>
      <c r="Z13" t="s">
        <v>33</v>
      </c>
      <c r="AA13" s="14" t="s">
        <v>33</v>
      </c>
      <c r="AB13" t="s">
        <v>33</v>
      </c>
      <c r="AC13" s="14" t="s">
        <v>33</v>
      </c>
      <c r="AD13" t="s">
        <v>33</v>
      </c>
      <c r="AE13" s="14" t="s">
        <v>33</v>
      </c>
      <c r="AF13" t="s">
        <v>33</v>
      </c>
      <c r="AG13" s="14" t="s">
        <v>33</v>
      </c>
      <c r="AH13" t="s">
        <v>33</v>
      </c>
      <c r="AI13" s="14" t="s">
        <v>33</v>
      </c>
      <c r="AJ13" t="s">
        <v>33</v>
      </c>
      <c r="AK13" s="14" t="s">
        <v>33</v>
      </c>
      <c r="AL13" t="s">
        <v>33</v>
      </c>
      <c r="AM13" s="14" t="s">
        <v>33</v>
      </c>
      <c r="AN13" t="s">
        <v>33</v>
      </c>
      <c r="AO13" s="14" t="s">
        <v>33</v>
      </c>
      <c r="AP13" t="s">
        <v>33</v>
      </c>
      <c r="AQ13" s="14" t="s">
        <v>33</v>
      </c>
      <c r="AR13" t="s">
        <v>33</v>
      </c>
      <c r="AS13" s="14" t="s">
        <v>33</v>
      </c>
      <c r="AT13" t="s">
        <v>33</v>
      </c>
      <c r="AU13" s="14" t="s">
        <v>33</v>
      </c>
      <c r="AV13" t="s">
        <v>33</v>
      </c>
      <c r="AW13" s="14" t="s">
        <v>33</v>
      </c>
      <c r="AX13" t="s">
        <v>33</v>
      </c>
      <c r="AY13" s="14" t="s">
        <v>33</v>
      </c>
      <c r="AZ13" t="s">
        <v>33</v>
      </c>
      <c r="BA13" s="14" t="s">
        <v>33</v>
      </c>
      <c r="BB13" t="s">
        <v>33</v>
      </c>
      <c r="BC13" s="14" t="s">
        <v>33</v>
      </c>
      <c r="BD13">
        <f t="shared" si="6"/>
        <v>45</v>
      </c>
      <c r="BE13">
        <f t="shared" si="7"/>
        <v>8346</v>
      </c>
      <c r="BF13">
        <f t="shared" si="8"/>
        <v>185.46666666666667</v>
      </c>
    </row>
    <row r="14" spans="1:59" x14ac:dyDescent="0.2">
      <c r="A14" t="s">
        <v>9</v>
      </c>
      <c r="B14" t="s">
        <v>4</v>
      </c>
      <c r="C14" t="s">
        <v>30</v>
      </c>
      <c r="D14">
        <v>5</v>
      </c>
      <c r="E14" s="14">
        <v>840</v>
      </c>
      <c r="F14">
        <v>2</v>
      </c>
      <c r="G14" s="14">
        <f t="shared" si="0"/>
        <v>348</v>
      </c>
      <c r="H14">
        <v>29</v>
      </c>
      <c r="I14" s="14">
        <f t="shared" si="1"/>
        <v>5220</v>
      </c>
      <c r="J14">
        <v>17</v>
      </c>
      <c r="K14" s="14">
        <f t="shared" si="2"/>
        <v>3162</v>
      </c>
      <c r="L14">
        <v>1</v>
      </c>
      <c r="M14" s="14">
        <f t="shared" si="3"/>
        <v>192</v>
      </c>
      <c r="N14" t="s">
        <v>33</v>
      </c>
      <c r="O14" s="14" t="s">
        <v>33</v>
      </c>
      <c r="P14">
        <v>0</v>
      </c>
      <c r="Q14" s="14">
        <f t="shared" si="5"/>
        <v>0</v>
      </c>
      <c r="R14" t="s">
        <v>33</v>
      </c>
      <c r="S14" s="14" t="s">
        <v>33</v>
      </c>
      <c r="T14" t="s">
        <v>33</v>
      </c>
      <c r="U14" s="14" t="s">
        <v>33</v>
      </c>
      <c r="V14" t="s">
        <v>33</v>
      </c>
      <c r="W14" s="14" t="s">
        <v>33</v>
      </c>
      <c r="X14" t="s">
        <v>33</v>
      </c>
      <c r="Y14" s="14" t="s">
        <v>33</v>
      </c>
      <c r="Z14" t="s">
        <v>33</v>
      </c>
      <c r="AA14" s="14" t="s">
        <v>33</v>
      </c>
      <c r="AB14" t="s">
        <v>33</v>
      </c>
      <c r="AC14" s="14" t="s">
        <v>33</v>
      </c>
      <c r="AD14" t="s">
        <v>33</v>
      </c>
      <c r="AE14" s="14" t="s">
        <v>33</v>
      </c>
      <c r="AF14" t="s">
        <v>33</v>
      </c>
      <c r="AG14" s="14" t="s">
        <v>33</v>
      </c>
      <c r="AH14" t="s">
        <v>33</v>
      </c>
      <c r="AI14" s="14" t="s">
        <v>33</v>
      </c>
      <c r="AJ14" t="s">
        <v>33</v>
      </c>
      <c r="AK14" s="14" t="s">
        <v>33</v>
      </c>
      <c r="AL14" t="s">
        <v>33</v>
      </c>
      <c r="AM14" s="14" t="s">
        <v>33</v>
      </c>
      <c r="AN14" t="s">
        <v>33</v>
      </c>
      <c r="AO14" s="14" t="s">
        <v>33</v>
      </c>
      <c r="AP14" t="s">
        <v>33</v>
      </c>
      <c r="AQ14" s="14" t="s">
        <v>33</v>
      </c>
      <c r="AR14" t="s">
        <v>33</v>
      </c>
      <c r="AS14" s="14" t="s">
        <v>33</v>
      </c>
      <c r="AT14" t="s">
        <v>33</v>
      </c>
      <c r="AU14" s="14" t="s">
        <v>33</v>
      </c>
      <c r="AV14" t="s">
        <v>33</v>
      </c>
      <c r="AW14" s="14" t="s">
        <v>33</v>
      </c>
      <c r="AX14" t="s">
        <v>33</v>
      </c>
      <c r="AY14" s="14" t="s">
        <v>33</v>
      </c>
      <c r="AZ14" t="s">
        <v>33</v>
      </c>
      <c r="BA14" s="14" t="s">
        <v>33</v>
      </c>
      <c r="BB14" t="s">
        <v>33</v>
      </c>
      <c r="BC14" s="14" t="s">
        <v>33</v>
      </c>
      <c r="BD14">
        <f t="shared" si="6"/>
        <v>54</v>
      </c>
      <c r="BE14">
        <f t="shared" si="7"/>
        <v>9762</v>
      </c>
      <c r="BF14">
        <f t="shared" si="8"/>
        <v>180.77777777777777</v>
      </c>
    </row>
    <row r="15" spans="1:59" x14ac:dyDescent="0.2">
      <c r="A15" t="s">
        <v>9</v>
      </c>
      <c r="B15" t="s">
        <v>5</v>
      </c>
      <c r="C15" t="s">
        <v>29</v>
      </c>
      <c r="D15" t="s">
        <v>33</v>
      </c>
      <c r="E15" s="14" t="s">
        <v>33</v>
      </c>
      <c r="F15">
        <v>1</v>
      </c>
      <c r="G15" s="14">
        <f t="shared" si="0"/>
        <v>174</v>
      </c>
      <c r="H15">
        <v>11</v>
      </c>
      <c r="I15" s="14">
        <f t="shared" si="1"/>
        <v>1980</v>
      </c>
      <c r="J15">
        <v>28</v>
      </c>
      <c r="K15" s="14">
        <f t="shared" si="2"/>
        <v>5208</v>
      </c>
      <c r="L15" t="s">
        <v>33</v>
      </c>
      <c r="M15" s="14" t="s">
        <v>33</v>
      </c>
      <c r="N15" t="s">
        <v>33</v>
      </c>
      <c r="O15" s="14" t="s">
        <v>33</v>
      </c>
      <c r="P15" s="13" t="s">
        <v>33</v>
      </c>
      <c r="Q15" s="14" t="s">
        <v>33</v>
      </c>
      <c r="R15" t="s">
        <v>33</v>
      </c>
      <c r="S15" s="14" t="s">
        <v>33</v>
      </c>
      <c r="T15" t="s">
        <v>33</v>
      </c>
      <c r="U15" s="14" t="s">
        <v>33</v>
      </c>
      <c r="V15" t="s">
        <v>33</v>
      </c>
      <c r="W15" s="14" t="s">
        <v>33</v>
      </c>
      <c r="X15" t="s">
        <v>33</v>
      </c>
      <c r="Y15" s="14" t="s">
        <v>33</v>
      </c>
      <c r="Z15" t="s">
        <v>33</v>
      </c>
      <c r="AA15" s="14" t="s">
        <v>33</v>
      </c>
      <c r="AB15" t="s">
        <v>33</v>
      </c>
      <c r="AC15" s="14" t="s">
        <v>33</v>
      </c>
      <c r="AD15" t="s">
        <v>33</v>
      </c>
      <c r="AE15" s="14" t="s">
        <v>33</v>
      </c>
      <c r="AF15" t="s">
        <v>33</v>
      </c>
      <c r="AG15" s="14" t="s">
        <v>33</v>
      </c>
      <c r="AH15" t="s">
        <v>33</v>
      </c>
      <c r="AI15" s="14" t="s">
        <v>33</v>
      </c>
      <c r="AJ15" t="s">
        <v>33</v>
      </c>
      <c r="AK15" s="14" t="s">
        <v>33</v>
      </c>
      <c r="AL15" t="s">
        <v>33</v>
      </c>
      <c r="AM15" s="14" t="s">
        <v>33</v>
      </c>
      <c r="AN15" t="s">
        <v>33</v>
      </c>
      <c r="AO15" s="14" t="s">
        <v>33</v>
      </c>
      <c r="AP15" t="s">
        <v>33</v>
      </c>
      <c r="AQ15" s="14" t="s">
        <v>33</v>
      </c>
      <c r="AR15" t="s">
        <v>33</v>
      </c>
      <c r="AS15" s="14" t="s">
        <v>33</v>
      </c>
      <c r="AT15" t="s">
        <v>33</v>
      </c>
      <c r="AU15" s="14" t="s">
        <v>33</v>
      </c>
      <c r="AV15" t="s">
        <v>33</v>
      </c>
      <c r="AW15" s="14" t="s">
        <v>33</v>
      </c>
      <c r="AX15" t="s">
        <v>33</v>
      </c>
      <c r="AY15" s="14" t="s">
        <v>33</v>
      </c>
      <c r="AZ15" t="s">
        <v>33</v>
      </c>
      <c r="BA15" s="14" t="s">
        <v>33</v>
      </c>
      <c r="BB15" t="s">
        <v>33</v>
      </c>
      <c r="BC15" s="14" t="s">
        <v>33</v>
      </c>
      <c r="BD15">
        <f t="shared" si="6"/>
        <v>40</v>
      </c>
      <c r="BE15">
        <f t="shared" si="7"/>
        <v>7362</v>
      </c>
      <c r="BF15">
        <f t="shared" si="8"/>
        <v>184.05</v>
      </c>
    </row>
    <row r="16" spans="1:59" x14ac:dyDescent="0.2">
      <c r="A16" t="s">
        <v>9</v>
      </c>
      <c r="B16" t="s">
        <v>5</v>
      </c>
      <c r="C16" t="s">
        <v>30</v>
      </c>
      <c r="D16" t="s">
        <v>33</v>
      </c>
      <c r="E16" s="14" t="s">
        <v>33</v>
      </c>
      <c r="F16">
        <v>8</v>
      </c>
      <c r="G16" s="14">
        <f t="shared" si="0"/>
        <v>1392</v>
      </c>
      <c r="H16">
        <v>30</v>
      </c>
      <c r="I16" s="14">
        <f t="shared" si="1"/>
        <v>5400</v>
      </c>
      <c r="J16">
        <v>12</v>
      </c>
      <c r="K16" s="14">
        <f t="shared" si="2"/>
        <v>2232</v>
      </c>
      <c r="L16" t="s">
        <v>33</v>
      </c>
      <c r="M16" s="14" t="s">
        <v>33</v>
      </c>
      <c r="N16" t="s">
        <v>33</v>
      </c>
      <c r="O16" s="14" t="s">
        <v>33</v>
      </c>
      <c r="P16" t="s">
        <v>33</v>
      </c>
      <c r="Q16" s="14" t="s">
        <v>33</v>
      </c>
      <c r="R16" t="s">
        <v>33</v>
      </c>
      <c r="S16" s="14" t="s">
        <v>33</v>
      </c>
      <c r="T16" t="s">
        <v>33</v>
      </c>
      <c r="U16" s="14" t="s">
        <v>33</v>
      </c>
      <c r="V16" t="s">
        <v>33</v>
      </c>
      <c r="W16" s="14" t="s">
        <v>33</v>
      </c>
      <c r="X16" t="s">
        <v>33</v>
      </c>
      <c r="Y16" s="14" t="s">
        <v>33</v>
      </c>
      <c r="Z16" t="s">
        <v>33</v>
      </c>
      <c r="AA16" s="14" t="s">
        <v>33</v>
      </c>
      <c r="AB16" t="s">
        <v>33</v>
      </c>
      <c r="AC16" s="14" t="s">
        <v>33</v>
      </c>
      <c r="AD16" t="s">
        <v>33</v>
      </c>
      <c r="AE16" s="14" t="s">
        <v>33</v>
      </c>
      <c r="AF16" t="s">
        <v>33</v>
      </c>
      <c r="AG16" s="14" t="s">
        <v>33</v>
      </c>
      <c r="AH16" t="s">
        <v>33</v>
      </c>
      <c r="AI16" s="14" t="s">
        <v>33</v>
      </c>
      <c r="AJ16" t="s">
        <v>33</v>
      </c>
      <c r="AK16" s="14" t="s">
        <v>33</v>
      </c>
      <c r="AL16" t="s">
        <v>33</v>
      </c>
      <c r="AM16" s="14" t="s">
        <v>33</v>
      </c>
      <c r="AN16" t="s">
        <v>33</v>
      </c>
      <c r="AO16" s="14" t="s">
        <v>33</v>
      </c>
      <c r="AP16" t="s">
        <v>33</v>
      </c>
      <c r="AQ16" s="14" t="s">
        <v>33</v>
      </c>
      <c r="AR16" t="s">
        <v>33</v>
      </c>
      <c r="AS16" s="14" t="s">
        <v>33</v>
      </c>
      <c r="AT16" t="s">
        <v>33</v>
      </c>
      <c r="AU16" s="14" t="s">
        <v>33</v>
      </c>
      <c r="AV16" t="s">
        <v>33</v>
      </c>
      <c r="AW16" s="14" t="s">
        <v>33</v>
      </c>
      <c r="AX16" t="s">
        <v>33</v>
      </c>
      <c r="AY16" s="14" t="s">
        <v>33</v>
      </c>
      <c r="AZ16" t="s">
        <v>33</v>
      </c>
      <c r="BA16" s="14" t="s">
        <v>33</v>
      </c>
      <c r="BB16" t="s">
        <v>33</v>
      </c>
      <c r="BC16" s="14" t="s">
        <v>33</v>
      </c>
      <c r="BD16">
        <f t="shared" si="6"/>
        <v>50</v>
      </c>
      <c r="BE16">
        <f t="shared" si="7"/>
        <v>9024</v>
      </c>
      <c r="BF16">
        <f t="shared" si="8"/>
        <v>180.48</v>
      </c>
    </row>
    <row r="17" spans="1:59" x14ac:dyDescent="0.2">
      <c r="A17" t="s">
        <v>9</v>
      </c>
      <c r="B17" t="s">
        <v>6</v>
      </c>
      <c r="C17" t="s">
        <v>29</v>
      </c>
      <c r="D17">
        <v>0</v>
      </c>
      <c r="E17" s="14">
        <v>0</v>
      </c>
      <c r="F17">
        <v>3</v>
      </c>
      <c r="G17" s="14">
        <f t="shared" si="0"/>
        <v>522</v>
      </c>
      <c r="H17">
        <v>13</v>
      </c>
      <c r="I17" s="14">
        <f t="shared" si="1"/>
        <v>2340</v>
      </c>
      <c r="J17">
        <v>34</v>
      </c>
      <c r="K17" s="14">
        <f t="shared" si="2"/>
        <v>6324</v>
      </c>
      <c r="L17">
        <v>6</v>
      </c>
      <c r="M17" s="14">
        <f t="shared" si="3"/>
        <v>1152</v>
      </c>
      <c r="N17" t="s">
        <v>33</v>
      </c>
      <c r="O17" s="14" t="s">
        <v>33</v>
      </c>
      <c r="P17" t="s">
        <v>33</v>
      </c>
      <c r="Q17" s="14" t="s">
        <v>33</v>
      </c>
      <c r="R17" t="s">
        <v>33</v>
      </c>
      <c r="S17" s="14" t="s">
        <v>33</v>
      </c>
      <c r="T17" t="s">
        <v>33</v>
      </c>
      <c r="U17" s="14" t="s">
        <v>33</v>
      </c>
      <c r="V17" t="s">
        <v>33</v>
      </c>
      <c r="W17" s="14" t="s">
        <v>33</v>
      </c>
      <c r="X17" t="s">
        <v>33</v>
      </c>
      <c r="Y17" s="14" t="s">
        <v>33</v>
      </c>
      <c r="Z17" t="s">
        <v>33</v>
      </c>
      <c r="AA17" s="14" t="s">
        <v>33</v>
      </c>
      <c r="AB17" t="s">
        <v>33</v>
      </c>
      <c r="AC17" s="14" t="s">
        <v>33</v>
      </c>
      <c r="AD17" t="s">
        <v>33</v>
      </c>
      <c r="AE17" s="14" t="s">
        <v>33</v>
      </c>
      <c r="AF17" t="s">
        <v>33</v>
      </c>
      <c r="AG17" s="14" t="s">
        <v>33</v>
      </c>
      <c r="AH17" t="s">
        <v>33</v>
      </c>
      <c r="AI17" s="14" t="s">
        <v>33</v>
      </c>
      <c r="AJ17" t="s">
        <v>33</v>
      </c>
      <c r="AK17" s="14" t="s">
        <v>33</v>
      </c>
      <c r="AL17" t="s">
        <v>33</v>
      </c>
      <c r="AM17" s="14" t="s">
        <v>33</v>
      </c>
      <c r="AN17" t="s">
        <v>33</v>
      </c>
      <c r="AO17" s="14" t="s">
        <v>33</v>
      </c>
      <c r="AP17" t="s">
        <v>33</v>
      </c>
      <c r="AQ17" s="14" t="s">
        <v>33</v>
      </c>
      <c r="AR17" t="s">
        <v>33</v>
      </c>
      <c r="AS17" s="14" t="s">
        <v>33</v>
      </c>
      <c r="AT17">
        <v>1</v>
      </c>
      <c r="AU17" s="14">
        <f>AT17*294</f>
        <v>294</v>
      </c>
      <c r="AV17" t="s">
        <v>33</v>
      </c>
      <c r="AW17" s="14" t="s">
        <v>33</v>
      </c>
      <c r="AX17" t="s">
        <v>33</v>
      </c>
      <c r="AY17" s="14" t="s">
        <v>33</v>
      </c>
      <c r="AZ17" t="s">
        <v>33</v>
      </c>
      <c r="BA17" s="14" t="s">
        <v>33</v>
      </c>
      <c r="BB17" t="s">
        <v>33</v>
      </c>
      <c r="BC17" s="14" t="s">
        <v>33</v>
      </c>
      <c r="BD17">
        <f t="shared" si="6"/>
        <v>57</v>
      </c>
      <c r="BE17">
        <f t="shared" si="7"/>
        <v>10632</v>
      </c>
      <c r="BF17">
        <f t="shared" si="8"/>
        <v>186.52631578947367</v>
      </c>
    </row>
    <row r="18" spans="1:59" x14ac:dyDescent="0.2">
      <c r="A18" t="s">
        <v>9</v>
      </c>
      <c r="B18" t="s">
        <v>6</v>
      </c>
      <c r="C18" t="s">
        <v>30</v>
      </c>
      <c r="D18">
        <v>2</v>
      </c>
      <c r="E18" s="14">
        <v>336</v>
      </c>
      <c r="F18">
        <v>4</v>
      </c>
      <c r="G18" s="14">
        <f t="shared" si="0"/>
        <v>696</v>
      </c>
      <c r="H18">
        <v>21</v>
      </c>
      <c r="I18" s="14">
        <f t="shared" si="1"/>
        <v>3780</v>
      </c>
      <c r="J18">
        <v>17</v>
      </c>
      <c r="K18" s="14">
        <f t="shared" si="2"/>
        <v>3162</v>
      </c>
      <c r="L18">
        <v>0</v>
      </c>
      <c r="M18" s="14">
        <f t="shared" si="3"/>
        <v>0</v>
      </c>
      <c r="N18" t="s">
        <v>33</v>
      </c>
      <c r="O18" s="14" t="s">
        <v>33</v>
      </c>
      <c r="P18" t="s">
        <v>33</v>
      </c>
      <c r="Q18" s="14" t="s">
        <v>33</v>
      </c>
      <c r="R18" t="s">
        <v>33</v>
      </c>
      <c r="S18" s="14" t="s">
        <v>33</v>
      </c>
      <c r="T18" t="s">
        <v>33</v>
      </c>
      <c r="U18" s="14" t="s">
        <v>33</v>
      </c>
      <c r="V18" t="s">
        <v>33</v>
      </c>
      <c r="W18" s="14" t="s">
        <v>33</v>
      </c>
      <c r="X18" t="s">
        <v>33</v>
      </c>
      <c r="Y18" s="14" t="s">
        <v>33</v>
      </c>
      <c r="Z18" t="s">
        <v>33</v>
      </c>
      <c r="AA18" s="14" t="s">
        <v>33</v>
      </c>
      <c r="AB18" t="s">
        <v>33</v>
      </c>
      <c r="AC18" s="14" t="s">
        <v>33</v>
      </c>
      <c r="AD18" t="s">
        <v>33</v>
      </c>
      <c r="AE18" s="14" t="s">
        <v>33</v>
      </c>
      <c r="AF18" t="s">
        <v>33</v>
      </c>
      <c r="AG18" s="14" t="s">
        <v>33</v>
      </c>
      <c r="AH18" t="s">
        <v>33</v>
      </c>
      <c r="AI18" s="14" t="s">
        <v>33</v>
      </c>
      <c r="AJ18" t="s">
        <v>33</v>
      </c>
      <c r="AK18" s="14" t="s">
        <v>33</v>
      </c>
      <c r="AL18" t="s">
        <v>33</v>
      </c>
      <c r="AM18" s="14" t="s">
        <v>33</v>
      </c>
      <c r="AN18" t="s">
        <v>33</v>
      </c>
      <c r="AO18" s="14" t="s">
        <v>33</v>
      </c>
      <c r="AP18" t="s">
        <v>33</v>
      </c>
      <c r="AQ18" s="14" t="s">
        <v>33</v>
      </c>
      <c r="AR18" t="s">
        <v>33</v>
      </c>
      <c r="AS18" s="14" t="s">
        <v>33</v>
      </c>
      <c r="AT18">
        <v>0</v>
      </c>
      <c r="AU18" s="14">
        <f>AT18*294</f>
        <v>0</v>
      </c>
      <c r="AV18" t="s">
        <v>33</v>
      </c>
      <c r="AW18" s="14" t="s">
        <v>33</v>
      </c>
      <c r="AX18" t="s">
        <v>33</v>
      </c>
      <c r="AY18" s="14" t="s">
        <v>33</v>
      </c>
      <c r="AZ18" t="s">
        <v>33</v>
      </c>
      <c r="BA18" s="14" t="s">
        <v>33</v>
      </c>
      <c r="BB18" t="s">
        <v>33</v>
      </c>
      <c r="BC18" s="14" t="s">
        <v>33</v>
      </c>
      <c r="BD18">
        <f t="shared" si="6"/>
        <v>44</v>
      </c>
      <c r="BE18">
        <f t="shared" si="7"/>
        <v>7974</v>
      </c>
      <c r="BF18">
        <f t="shared" si="8"/>
        <v>181.22727272727272</v>
      </c>
    </row>
    <row r="19" spans="1:59" x14ac:dyDescent="0.2">
      <c r="A19" t="s">
        <v>9</v>
      </c>
      <c r="B19" t="s">
        <v>7</v>
      </c>
      <c r="C19" t="s">
        <v>29</v>
      </c>
      <c r="D19" t="s">
        <v>33</v>
      </c>
      <c r="E19" s="14" t="s">
        <v>33</v>
      </c>
      <c r="F19">
        <v>3</v>
      </c>
      <c r="G19" s="14">
        <f t="shared" si="0"/>
        <v>522</v>
      </c>
      <c r="H19">
        <v>11</v>
      </c>
      <c r="I19" s="14">
        <f t="shared" si="1"/>
        <v>1980</v>
      </c>
      <c r="J19">
        <v>31</v>
      </c>
      <c r="K19" s="14">
        <f t="shared" si="2"/>
        <v>5766</v>
      </c>
      <c r="L19">
        <v>9</v>
      </c>
      <c r="M19" s="14">
        <f t="shared" si="3"/>
        <v>1728</v>
      </c>
      <c r="N19">
        <v>1</v>
      </c>
      <c r="O19" s="14">
        <f t="shared" si="4"/>
        <v>198</v>
      </c>
      <c r="P19" t="s">
        <v>33</v>
      </c>
      <c r="Q19" s="14" t="s">
        <v>33</v>
      </c>
      <c r="R19" t="s">
        <v>33</v>
      </c>
      <c r="S19" s="14" t="s">
        <v>33</v>
      </c>
      <c r="T19" t="s">
        <v>33</v>
      </c>
      <c r="U19" s="14" t="s">
        <v>33</v>
      </c>
      <c r="V19" t="s">
        <v>33</v>
      </c>
      <c r="W19" s="14" t="s">
        <v>33</v>
      </c>
      <c r="X19" t="s">
        <v>33</v>
      </c>
      <c r="Y19" s="14" t="s">
        <v>33</v>
      </c>
      <c r="Z19" t="s">
        <v>33</v>
      </c>
      <c r="AA19" s="14" t="s">
        <v>33</v>
      </c>
      <c r="AB19" t="s">
        <v>33</v>
      </c>
      <c r="AC19" s="14" t="s">
        <v>33</v>
      </c>
      <c r="AD19" t="s">
        <v>33</v>
      </c>
      <c r="AE19" s="14" t="s">
        <v>33</v>
      </c>
      <c r="AF19" t="s">
        <v>33</v>
      </c>
      <c r="AG19" s="14" t="s">
        <v>33</v>
      </c>
      <c r="AH19" t="s">
        <v>33</v>
      </c>
      <c r="AI19" s="14" t="s">
        <v>33</v>
      </c>
      <c r="AJ19" t="s">
        <v>33</v>
      </c>
      <c r="AK19" s="14" t="s">
        <v>33</v>
      </c>
      <c r="AL19" t="s">
        <v>33</v>
      </c>
      <c r="AM19" s="14" t="s">
        <v>33</v>
      </c>
      <c r="AN19" t="s">
        <v>33</v>
      </c>
      <c r="AO19" s="14" t="s">
        <v>33</v>
      </c>
      <c r="AP19" t="s">
        <v>33</v>
      </c>
      <c r="AQ19" s="14" t="s">
        <v>33</v>
      </c>
      <c r="AR19" t="s">
        <v>33</v>
      </c>
      <c r="AS19" s="14" t="s">
        <v>33</v>
      </c>
      <c r="AT19" t="s">
        <v>33</v>
      </c>
      <c r="AU19" s="14" t="s">
        <v>33</v>
      </c>
      <c r="AV19" t="s">
        <v>33</v>
      </c>
      <c r="AW19" s="14" t="s">
        <v>33</v>
      </c>
      <c r="AX19" t="s">
        <v>33</v>
      </c>
      <c r="AY19" s="14" t="s">
        <v>33</v>
      </c>
      <c r="AZ19" t="s">
        <v>33</v>
      </c>
      <c r="BA19" s="14" t="s">
        <v>33</v>
      </c>
      <c r="BB19" t="s">
        <v>33</v>
      </c>
      <c r="BC19" s="14" t="s">
        <v>33</v>
      </c>
      <c r="BD19">
        <f t="shared" si="6"/>
        <v>55</v>
      </c>
      <c r="BE19">
        <f t="shared" si="7"/>
        <v>10194</v>
      </c>
      <c r="BF19">
        <f t="shared" si="8"/>
        <v>185.34545454545454</v>
      </c>
    </row>
    <row r="20" spans="1:59" x14ac:dyDescent="0.2">
      <c r="A20" t="s">
        <v>9</v>
      </c>
      <c r="B20" t="s">
        <v>7</v>
      </c>
      <c r="C20" t="s">
        <v>30</v>
      </c>
      <c r="D20" t="s">
        <v>33</v>
      </c>
      <c r="E20" s="14" t="s">
        <v>33</v>
      </c>
      <c r="F20">
        <v>5</v>
      </c>
      <c r="G20" s="14">
        <f t="shared" si="0"/>
        <v>870</v>
      </c>
      <c r="H20">
        <v>19</v>
      </c>
      <c r="I20" s="14">
        <f t="shared" si="1"/>
        <v>3420</v>
      </c>
      <c r="J20">
        <v>23</v>
      </c>
      <c r="K20" s="14">
        <f t="shared" si="2"/>
        <v>4278</v>
      </c>
      <c r="L20">
        <v>1</v>
      </c>
      <c r="M20" s="14">
        <f t="shared" si="3"/>
        <v>192</v>
      </c>
      <c r="N20">
        <v>0</v>
      </c>
      <c r="O20" s="14">
        <f t="shared" si="4"/>
        <v>0</v>
      </c>
      <c r="P20" t="s">
        <v>33</v>
      </c>
      <c r="Q20" s="14" t="s">
        <v>33</v>
      </c>
      <c r="R20" t="s">
        <v>33</v>
      </c>
      <c r="S20" s="14" t="s">
        <v>33</v>
      </c>
      <c r="T20" t="s">
        <v>33</v>
      </c>
      <c r="U20" s="14" t="s">
        <v>33</v>
      </c>
      <c r="V20" t="s">
        <v>33</v>
      </c>
      <c r="W20" s="14" t="s">
        <v>33</v>
      </c>
      <c r="X20" t="s">
        <v>33</v>
      </c>
      <c r="Y20" s="14" t="s">
        <v>33</v>
      </c>
      <c r="Z20" t="s">
        <v>33</v>
      </c>
      <c r="AA20" s="14" t="s">
        <v>33</v>
      </c>
      <c r="AB20" t="s">
        <v>33</v>
      </c>
      <c r="AC20" s="14" t="s">
        <v>33</v>
      </c>
      <c r="AD20" t="s">
        <v>33</v>
      </c>
      <c r="AE20" s="14" t="s">
        <v>33</v>
      </c>
      <c r="AF20" t="s">
        <v>33</v>
      </c>
      <c r="AG20" s="14" t="s">
        <v>33</v>
      </c>
      <c r="AH20" t="s">
        <v>33</v>
      </c>
      <c r="AI20" s="14" t="s">
        <v>33</v>
      </c>
      <c r="AJ20" t="s">
        <v>33</v>
      </c>
      <c r="AK20" s="14" t="s">
        <v>33</v>
      </c>
      <c r="AL20" t="s">
        <v>33</v>
      </c>
      <c r="AM20" s="14" t="s">
        <v>33</v>
      </c>
      <c r="AN20" t="s">
        <v>33</v>
      </c>
      <c r="AO20" s="14" t="s">
        <v>33</v>
      </c>
      <c r="AP20" t="s">
        <v>33</v>
      </c>
      <c r="AQ20" s="14" t="s">
        <v>33</v>
      </c>
      <c r="AR20" t="s">
        <v>33</v>
      </c>
      <c r="AS20" s="14" t="s">
        <v>33</v>
      </c>
      <c r="AT20" t="s">
        <v>33</v>
      </c>
      <c r="AU20" s="14" t="s">
        <v>33</v>
      </c>
      <c r="AV20" t="s">
        <v>33</v>
      </c>
      <c r="AW20" s="14" t="s">
        <v>33</v>
      </c>
      <c r="AX20" t="s">
        <v>33</v>
      </c>
      <c r="AY20" s="14" t="s">
        <v>33</v>
      </c>
      <c r="AZ20" t="s">
        <v>33</v>
      </c>
      <c r="BA20" s="14" t="s">
        <v>33</v>
      </c>
      <c r="BB20" t="s">
        <v>33</v>
      </c>
      <c r="BC20" s="14" t="s">
        <v>33</v>
      </c>
      <c r="BD20">
        <f t="shared" si="6"/>
        <v>48</v>
      </c>
      <c r="BE20">
        <f t="shared" si="7"/>
        <v>8760</v>
      </c>
      <c r="BF20">
        <f t="shared" si="8"/>
        <v>182.5</v>
      </c>
    </row>
    <row r="21" spans="1:59" x14ac:dyDescent="0.2">
      <c r="A21" t="s">
        <v>9</v>
      </c>
      <c r="B21" t="s">
        <v>8</v>
      </c>
      <c r="C21" t="s">
        <v>29</v>
      </c>
      <c r="D21">
        <v>1</v>
      </c>
      <c r="E21" s="14">
        <v>168</v>
      </c>
      <c r="F21">
        <v>0</v>
      </c>
      <c r="G21" s="14">
        <f t="shared" si="0"/>
        <v>0</v>
      </c>
      <c r="H21">
        <v>12</v>
      </c>
      <c r="I21" s="14">
        <f t="shared" si="1"/>
        <v>2160</v>
      </c>
      <c r="J21">
        <v>25</v>
      </c>
      <c r="K21" s="14">
        <f t="shared" si="2"/>
        <v>4650</v>
      </c>
      <c r="L21">
        <v>12</v>
      </c>
      <c r="M21" s="14">
        <f t="shared" si="3"/>
        <v>2304</v>
      </c>
      <c r="N21">
        <v>3</v>
      </c>
      <c r="O21" s="14">
        <f t="shared" si="4"/>
        <v>594</v>
      </c>
      <c r="P21" t="s">
        <v>33</v>
      </c>
      <c r="Q21" s="14" t="s">
        <v>33</v>
      </c>
      <c r="R21" t="s">
        <v>33</v>
      </c>
      <c r="S21" s="14" t="s">
        <v>33</v>
      </c>
      <c r="T21" t="s">
        <v>33</v>
      </c>
      <c r="U21" s="14" t="s">
        <v>33</v>
      </c>
      <c r="V21" t="s">
        <v>33</v>
      </c>
      <c r="W21" s="14" t="s">
        <v>33</v>
      </c>
      <c r="X21" t="s">
        <v>33</v>
      </c>
      <c r="Y21" s="14" t="s">
        <v>33</v>
      </c>
      <c r="Z21" t="s">
        <v>33</v>
      </c>
      <c r="AA21" s="14" t="s">
        <v>33</v>
      </c>
      <c r="AB21" t="s">
        <v>33</v>
      </c>
      <c r="AC21" s="14" t="s">
        <v>33</v>
      </c>
      <c r="AD21" t="s">
        <v>33</v>
      </c>
      <c r="AE21" s="14" t="s">
        <v>33</v>
      </c>
      <c r="AF21" t="s">
        <v>33</v>
      </c>
      <c r="AG21" s="14" t="s">
        <v>33</v>
      </c>
      <c r="AH21" t="s">
        <v>33</v>
      </c>
      <c r="AI21" s="14" t="s">
        <v>33</v>
      </c>
      <c r="AJ21" t="s">
        <v>33</v>
      </c>
      <c r="AK21" s="14" t="s">
        <v>33</v>
      </c>
      <c r="AL21" t="s">
        <v>33</v>
      </c>
      <c r="AM21" s="14" t="s">
        <v>33</v>
      </c>
      <c r="AN21" t="s">
        <v>33</v>
      </c>
      <c r="AO21" s="14" t="s">
        <v>33</v>
      </c>
      <c r="AP21" t="s">
        <v>33</v>
      </c>
      <c r="AQ21" s="14" t="s">
        <v>33</v>
      </c>
      <c r="AR21" t="s">
        <v>33</v>
      </c>
      <c r="AS21" s="14" t="s">
        <v>33</v>
      </c>
      <c r="AT21" t="s">
        <v>33</v>
      </c>
      <c r="AU21" s="14" t="s">
        <v>33</v>
      </c>
      <c r="AV21" t="s">
        <v>33</v>
      </c>
      <c r="AW21" s="14" t="s">
        <v>33</v>
      </c>
      <c r="AX21" t="s">
        <v>33</v>
      </c>
      <c r="AY21" s="14" t="s">
        <v>33</v>
      </c>
      <c r="AZ21" t="s">
        <v>33</v>
      </c>
      <c r="BA21" s="14" t="s">
        <v>33</v>
      </c>
      <c r="BB21" t="s">
        <v>33</v>
      </c>
      <c r="BC21" s="14" t="s">
        <v>33</v>
      </c>
      <c r="BD21">
        <f t="shared" si="6"/>
        <v>53</v>
      </c>
      <c r="BE21">
        <f t="shared" si="7"/>
        <v>9876</v>
      </c>
      <c r="BF21">
        <f t="shared" si="8"/>
        <v>186.33962264150944</v>
      </c>
    </row>
    <row r="22" spans="1:59" x14ac:dyDescent="0.2">
      <c r="A22" t="s">
        <v>9</v>
      </c>
      <c r="B22" t="s">
        <v>8</v>
      </c>
      <c r="C22" t="s">
        <v>30</v>
      </c>
      <c r="D22">
        <v>2</v>
      </c>
      <c r="E22" s="14">
        <v>336</v>
      </c>
      <c r="F22">
        <v>3</v>
      </c>
      <c r="G22" s="14">
        <f t="shared" si="0"/>
        <v>522</v>
      </c>
      <c r="H22">
        <v>22</v>
      </c>
      <c r="I22" s="14">
        <f t="shared" si="1"/>
        <v>3960</v>
      </c>
      <c r="J22">
        <v>21</v>
      </c>
      <c r="K22" s="14">
        <f t="shared" si="2"/>
        <v>3906</v>
      </c>
      <c r="L22">
        <v>0</v>
      </c>
      <c r="M22" s="14">
        <f t="shared" si="3"/>
        <v>0</v>
      </c>
      <c r="N22">
        <v>0</v>
      </c>
      <c r="O22" s="14">
        <f t="shared" si="4"/>
        <v>0</v>
      </c>
      <c r="P22" t="s">
        <v>33</v>
      </c>
      <c r="Q22" s="14" t="s">
        <v>33</v>
      </c>
      <c r="R22" t="s">
        <v>33</v>
      </c>
      <c r="S22" s="14" t="s">
        <v>33</v>
      </c>
      <c r="T22" t="s">
        <v>33</v>
      </c>
      <c r="U22" s="14" t="s">
        <v>33</v>
      </c>
      <c r="V22" t="s">
        <v>33</v>
      </c>
      <c r="W22" s="14" t="s">
        <v>33</v>
      </c>
      <c r="X22" t="s">
        <v>33</v>
      </c>
      <c r="Y22" s="14" t="s">
        <v>33</v>
      </c>
      <c r="Z22" t="s">
        <v>33</v>
      </c>
      <c r="AA22" s="14" t="s">
        <v>33</v>
      </c>
      <c r="AB22" t="s">
        <v>33</v>
      </c>
      <c r="AC22" s="14" t="s">
        <v>33</v>
      </c>
      <c r="AD22" t="s">
        <v>33</v>
      </c>
      <c r="AE22" s="14" t="s">
        <v>33</v>
      </c>
      <c r="AF22" t="s">
        <v>33</v>
      </c>
      <c r="AG22" s="14" t="s">
        <v>33</v>
      </c>
      <c r="AH22" t="s">
        <v>33</v>
      </c>
      <c r="AI22" s="14" t="s">
        <v>33</v>
      </c>
      <c r="AJ22" t="s">
        <v>33</v>
      </c>
      <c r="AK22" s="14" t="s">
        <v>33</v>
      </c>
      <c r="AL22" t="s">
        <v>33</v>
      </c>
      <c r="AM22" s="14" t="s">
        <v>33</v>
      </c>
      <c r="AN22" t="s">
        <v>33</v>
      </c>
      <c r="AO22" s="14" t="s">
        <v>33</v>
      </c>
      <c r="AP22" t="s">
        <v>33</v>
      </c>
      <c r="AQ22" s="14" t="s">
        <v>33</v>
      </c>
      <c r="AR22" t="s">
        <v>33</v>
      </c>
      <c r="AS22" s="14" t="s">
        <v>33</v>
      </c>
      <c r="AT22" t="s">
        <v>33</v>
      </c>
      <c r="AU22" s="14" t="s">
        <v>33</v>
      </c>
      <c r="AV22" t="s">
        <v>33</v>
      </c>
      <c r="AW22" s="14" t="s">
        <v>33</v>
      </c>
      <c r="AX22" t="s">
        <v>33</v>
      </c>
      <c r="AY22" s="14" t="s">
        <v>33</v>
      </c>
      <c r="AZ22" t="s">
        <v>33</v>
      </c>
      <c r="BA22" s="14" t="s">
        <v>33</v>
      </c>
      <c r="BB22" t="s">
        <v>33</v>
      </c>
      <c r="BC22" s="14" t="s">
        <v>33</v>
      </c>
      <c r="BD22">
        <f t="shared" si="6"/>
        <v>48</v>
      </c>
      <c r="BE22">
        <f t="shared" si="7"/>
        <v>8724</v>
      </c>
      <c r="BF22">
        <f t="shared" si="8"/>
        <v>181.75</v>
      </c>
    </row>
    <row r="23" spans="1:59" x14ac:dyDescent="0.2">
      <c r="A23" t="s">
        <v>10</v>
      </c>
      <c r="B23" t="s">
        <v>4</v>
      </c>
      <c r="C23" t="s">
        <v>29</v>
      </c>
      <c r="D23" t="s">
        <v>33</v>
      </c>
      <c r="E23" s="14" t="s">
        <v>33</v>
      </c>
      <c r="F23" t="s">
        <v>33</v>
      </c>
      <c r="G23" s="14" t="s">
        <v>33</v>
      </c>
      <c r="H23">
        <v>7</v>
      </c>
      <c r="I23" s="14">
        <f t="shared" si="1"/>
        <v>1260</v>
      </c>
      <c r="J23">
        <v>22</v>
      </c>
      <c r="K23" s="14">
        <f t="shared" si="2"/>
        <v>4092</v>
      </c>
      <c r="L23">
        <v>27</v>
      </c>
      <c r="M23" s="14">
        <f t="shared" si="3"/>
        <v>5184</v>
      </c>
      <c r="N23">
        <v>15</v>
      </c>
      <c r="O23" s="14">
        <f t="shared" si="4"/>
        <v>2970</v>
      </c>
      <c r="P23">
        <v>6</v>
      </c>
      <c r="Q23" s="14">
        <f t="shared" si="5"/>
        <v>1224</v>
      </c>
      <c r="R23">
        <v>1</v>
      </c>
      <c r="S23" s="14">
        <f t="shared" si="9"/>
        <v>210</v>
      </c>
      <c r="T23" t="s">
        <v>33</v>
      </c>
      <c r="U23" s="14" t="s">
        <v>33</v>
      </c>
      <c r="V23" t="s">
        <v>33</v>
      </c>
      <c r="W23" s="14" t="s">
        <v>33</v>
      </c>
      <c r="X23" t="s">
        <v>33</v>
      </c>
      <c r="Y23" s="14" t="s">
        <v>33</v>
      </c>
      <c r="Z23" t="s">
        <v>33</v>
      </c>
      <c r="AA23" s="14" t="s">
        <v>33</v>
      </c>
      <c r="AB23" t="s">
        <v>33</v>
      </c>
      <c r="AC23" s="14" t="s">
        <v>33</v>
      </c>
      <c r="AD23" t="s">
        <v>33</v>
      </c>
      <c r="AE23" s="14" t="s">
        <v>33</v>
      </c>
      <c r="AF23" t="s">
        <v>33</v>
      </c>
      <c r="AG23" s="14" t="s">
        <v>33</v>
      </c>
      <c r="AH23" t="s">
        <v>33</v>
      </c>
      <c r="AI23" s="14" t="s">
        <v>33</v>
      </c>
      <c r="AJ23" t="s">
        <v>33</v>
      </c>
      <c r="AK23" s="14" t="s">
        <v>33</v>
      </c>
      <c r="AL23" t="s">
        <v>33</v>
      </c>
      <c r="AM23" s="14" t="s">
        <v>33</v>
      </c>
      <c r="AN23" t="s">
        <v>33</v>
      </c>
      <c r="AO23" s="14" t="s">
        <v>33</v>
      </c>
      <c r="AP23" t="s">
        <v>33</v>
      </c>
      <c r="AQ23" s="14" t="s">
        <v>33</v>
      </c>
      <c r="AR23" t="s">
        <v>33</v>
      </c>
      <c r="AS23" s="14" t="s">
        <v>33</v>
      </c>
      <c r="AT23" t="s">
        <v>33</v>
      </c>
      <c r="AU23" s="14" t="s">
        <v>33</v>
      </c>
      <c r="AV23" t="s">
        <v>33</v>
      </c>
      <c r="AW23" s="14" t="s">
        <v>33</v>
      </c>
      <c r="AX23" t="s">
        <v>33</v>
      </c>
      <c r="AY23" s="14" t="s">
        <v>33</v>
      </c>
      <c r="AZ23" t="s">
        <v>33</v>
      </c>
      <c r="BA23" s="14" t="s">
        <v>33</v>
      </c>
      <c r="BB23" t="s">
        <v>33</v>
      </c>
      <c r="BC23" s="14" t="s">
        <v>33</v>
      </c>
      <c r="BD23">
        <f t="shared" si="6"/>
        <v>78</v>
      </c>
      <c r="BE23">
        <f t="shared" si="7"/>
        <v>14940</v>
      </c>
      <c r="BF23">
        <f t="shared" si="8"/>
        <v>191.53846153846155</v>
      </c>
    </row>
    <row r="24" spans="1:59" x14ac:dyDescent="0.2">
      <c r="A24" t="s">
        <v>10</v>
      </c>
      <c r="B24" t="s">
        <v>4</v>
      </c>
      <c r="C24" t="s">
        <v>30</v>
      </c>
      <c r="D24" t="s">
        <v>33</v>
      </c>
      <c r="E24" s="14" t="s">
        <v>33</v>
      </c>
      <c r="F24" t="s">
        <v>33</v>
      </c>
      <c r="G24" s="14" t="s">
        <v>33</v>
      </c>
      <c r="H24">
        <v>11</v>
      </c>
      <c r="I24" s="14">
        <f t="shared" si="1"/>
        <v>1980</v>
      </c>
      <c r="J24">
        <v>28</v>
      </c>
      <c r="K24" s="14">
        <f t="shared" si="2"/>
        <v>5208</v>
      </c>
      <c r="L24">
        <v>20</v>
      </c>
      <c r="M24" s="14">
        <f t="shared" si="3"/>
        <v>3840</v>
      </c>
      <c r="N24">
        <v>14</v>
      </c>
      <c r="O24" s="14">
        <f t="shared" si="4"/>
        <v>2772</v>
      </c>
      <c r="P24">
        <v>3</v>
      </c>
      <c r="Q24" s="14">
        <f t="shared" si="5"/>
        <v>612</v>
      </c>
      <c r="R24">
        <v>0</v>
      </c>
      <c r="S24" s="14">
        <f t="shared" si="9"/>
        <v>0</v>
      </c>
      <c r="T24" t="s">
        <v>33</v>
      </c>
      <c r="U24" s="14" t="s">
        <v>33</v>
      </c>
      <c r="V24" t="s">
        <v>33</v>
      </c>
      <c r="W24" s="14" t="s">
        <v>33</v>
      </c>
      <c r="X24" t="s">
        <v>33</v>
      </c>
      <c r="Y24" s="14" t="s">
        <v>33</v>
      </c>
      <c r="Z24" t="s">
        <v>33</v>
      </c>
      <c r="AA24" s="14" t="s">
        <v>33</v>
      </c>
      <c r="AB24" t="s">
        <v>33</v>
      </c>
      <c r="AC24" s="14" t="s">
        <v>33</v>
      </c>
      <c r="AD24" t="s">
        <v>33</v>
      </c>
      <c r="AE24" s="14" t="s">
        <v>33</v>
      </c>
      <c r="AF24" t="s">
        <v>33</v>
      </c>
      <c r="AG24" s="14" t="s">
        <v>33</v>
      </c>
      <c r="AH24" t="s">
        <v>33</v>
      </c>
      <c r="AI24" s="14" t="s">
        <v>33</v>
      </c>
      <c r="AJ24" t="s">
        <v>33</v>
      </c>
      <c r="AK24" s="14" t="s">
        <v>33</v>
      </c>
      <c r="AL24" t="s">
        <v>33</v>
      </c>
      <c r="AM24" s="14" t="s">
        <v>33</v>
      </c>
      <c r="AN24" t="s">
        <v>33</v>
      </c>
      <c r="AO24" s="14" t="s">
        <v>33</v>
      </c>
      <c r="AP24" t="s">
        <v>33</v>
      </c>
      <c r="AQ24" s="14" t="s">
        <v>33</v>
      </c>
      <c r="AR24" t="s">
        <v>33</v>
      </c>
      <c r="AS24" s="14" t="s">
        <v>33</v>
      </c>
      <c r="AT24" t="s">
        <v>33</v>
      </c>
      <c r="AU24" s="14" t="s">
        <v>33</v>
      </c>
      <c r="AV24" t="s">
        <v>33</v>
      </c>
      <c r="AW24" s="14" t="s">
        <v>33</v>
      </c>
      <c r="AX24" t="s">
        <v>33</v>
      </c>
      <c r="AY24" s="14" t="s">
        <v>33</v>
      </c>
      <c r="AZ24" t="s">
        <v>33</v>
      </c>
      <c r="BA24" s="14" t="s">
        <v>33</v>
      </c>
      <c r="BB24" t="s">
        <v>33</v>
      </c>
      <c r="BC24" s="14" t="s">
        <v>33</v>
      </c>
      <c r="BD24">
        <f t="shared" si="6"/>
        <v>76</v>
      </c>
      <c r="BE24">
        <f t="shared" si="7"/>
        <v>14412</v>
      </c>
      <c r="BF24">
        <f t="shared" si="8"/>
        <v>189.63157894736841</v>
      </c>
    </row>
    <row r="25" spans="1:59" x14ac:dyDescent="0.2">
      <c r="A25" t="s">
        <v>10</v>
      </c>
      <c r="B25" t="s">
        <v>5</v>
      </c>
      <c r="C25" t="s">
        <v>29</v>
      </c>
      <c r="D25" t="s">
        <v>33</v>
      </c>
      <c r="E25" s="14" t="s">
        <v>33</v>
      </c>
      <c r="F25">
        <v>0</v>
      </c>
      <c r="G25" s="14">
        <f t="shared" si="0"/>
        <v>0</v>
      </c>
      <c r="H25">
        <v>1</v>
      </c>
      <c r="I25" s="14">
        <f t="shared" si="1"/>
        <v>180</v>
      </c>
      <c r="J25">
        <v>11</v>
      </c>
      <c r="K25" s="14">
        <f t="shared" si="2"/>
        <v>2046</v>
      </c>
      <c r="L25">
        <v>20</v>
      </c>
      <c r="M25" s="14">
        <f t="shared" si="3"/>
        <v>3840</v>
      </c>
      <c r="N25">
        <v>39</v>
      </c>
      <c r="O25" s="14">
        <f t="shared" si="4"/>
        <v>7722</v>
      </c>
      <c r="P25">
        <v>22</v>
      </c>
      <c r="Q25" s="14">
        <f t="shared" si="5"/>
        <v>4488</v>
      </c>
      <c r="R25">
        <v>7</v>
      </c>
      <c r="S25" s="14">
        <f t="shared" si="9"/>
        <v>1470</v>
      </c>
      <c r="T25">
        <v>1</v>
      </c>
      <c r="U25" s="14">
        <f t="shared" ref="U25:U30" si="10">T25*216</f>
        <v>216</v>
      </c>
      <c r="V25" t="s">
        <v>33</v>
      </c>
      <c r="W25" s="14" t="s">
        <v>33</v>
      </c>
      <c r="X25">
        <v>1</v>
      </c>
      <c r="Y25" s="14">
        <f>X25*228</f>
        <v>228</v>
      </c>
      <c r="Z25" t="s">
        <v>33</v>
      </c>
      <c r="AA25" s="14" t="s">
        <v>33</v>
      </c>
      <c r="AB25" t="s">
        <v>33</v>
      </c>
      <c r="AC25" s="14" t="s">
        <v>33</v>
      </c>
      <c r="AD25" t="s">
        <v>33</v>
      </c>
      <c r="AE25" s="14" t="s">
        <v>33</v>
      </c>
      <c r="AF25">
        <v>1</v>
      </c>
      <c r="AG25" s="14">
        <f t="shared" ref="AG25:AG32" si="11">AF25*252</f>
        <v>252</v>
      </c>
      <c r="AH25" t="s">
        <v>33</v>
      </c>
      <c r="AI25" s="14" t="s">
        <v>33</v>
      </c>
      <c r="AJ25" t="s">
        <v>33</v>
      </c>
      <c r="AK25" s="14" t="s">
        <v>33</v>
      </c>
      <c r="AL25" t="s">
        <v>33</v>
      </c>
      <c r="AM25" s="14" t="s">
        <v>33</v>
      </c>
      <c r="AN25" t="s">
        <v>33</v>
      </c>
      <c r="AO25" s="14" t="s">
        <v>33</v>
      </c>
      <c r="AP25" t="s">
        <v>33</v>
      </c>
      <c r="AQ25" s="14" t="s">
        <v>33</v>
      </c>
      <c r="AR25" t="s">
        <v>33</v>
      </c>
      <c r="AS25" s="14" t="s">
        <v>33</v>
      </c>
      <c r="AT25" t="s">
        <v>33</v>
      </c>
      <c r="AU25" s="14" t="s">
        <v>33</v>
      </c>
      <c r="AV25">
        <v>0</v>
      </c>
      <c r="AW25" s="14">
        <f>AV25*300</f>
        <v>0</v>
      </c>
      <c r="AX25" t="s">
        <v>33</v>
      </c>
      <c r="AY25" s="14" t="s">
        <v>33</v>
      </c>
      <c r="AZ25" t="s">
        <v>33</v>
      </c>
      <c r="BA25" s="14" t="s">
        <v>33</v>
      </c>
      <c r="BB25" t="s">
        <v>33</v>
      </c>
      <c r="BC25" s="14" t="s">
        <v>33</v>
      </c>
      <c r="BD25">
        <f t="shared" si="6"/>
        <v>103</v>
      </c>
      <c r="BE25">
        <f t="shared" si="7"/>
        <v>20442</v>
      </c>
      <c r="BF25">
        <f t="shared" si="8"/>
        <v>198.46601941747574</v>
      </c>
    </row>
    <row r="26" spans="1:59" x14ac:dyDescent="0.2">
      <c r="A26" t="s">
        <v>10</v>
      </c>
      <c r="B26" t="s">
        <v>5</v>
      </c>
      <c r="C26" t="s">
        <v>30</v>
      </c>
      <c r="D26" t="s">
        <v>33</v>
      </c>
      <c r="E26" s="14" t="s">
        <v>33</v>
      </c>
      <c r="F26">
        <v>1</v>
      </c>
      <c r="G26" s="14">
        <f t="shared" si="0"/>
        <v>174</v>
      </c>
      <c r="H26">
        <v>5</v>
      </c>
      <c r="I26" s="14">
        <f t="shared" si="1"/>
        <v>900</v>
      </c>
      <c r="J26">
        <v>20</v>
      </c>
      <c r="K26" s="14">
        <f t="shared" si="2"/>
        <v>3720</v>
      </c>
      <c r="L26">
        <v>17</v>
      </c>
      <c r="M26" s="14">
        <f t="shared" si="3"/>
        <v>3264</v>
      </c>
      <c r="N26">
        <v>18</v>
      </c>
      <c r="O26" s="14">
        <f t="shared" si="4"/>
        <v>3564</v>
      </c>
      <c r="P26">
        <v>16</v>
      </c>
      <c r="Q26" s="14">
        <f t="shared" si="5"/>
        <v>3264</v>
      </c>
      <c r="R26">
        <v>3</v>
      </c>
      <c r="S26" s="14">
        <f t="shared" si="9"/>
        <v>630</v>
      </c>
      <c r="T26">
        <v>2</v>
      </c>
      <c r="U26" s="14">
        <f t="shared" si="10"/>
        <v>432</v>
      </c>
      <c r="V26" t="s">
        <v>33</v>
      </c>
      <c r="W26" s="14" t="s">
        <v>33</v>
      </c>
      <c r="X26">
        <v>2</v>
      </c>
      <c r="Y26" s="14">
        <f>X26*228</f>
        <v>456</v>
      </c>
      <c r="Z26" t="s">
        <v>33</v>
      </c>
      <c r="AA26" s="14" t="s">
        <v>33</v>
      </c>
      <c r="AB26" t="s">
        <v>33</v>
      </c>
      <c r="AC26" s="14" t="s">
        <v>33</v>
      </c>
      <c r="AD26" t="s">
        <v>33</v>
      </c>
      <c r="AE26" s="14" t="s">
        <v>33</v>
      </c>
      <c r="AF26">
        <v>0</v>
      </c>
      <c r="AG26" s="14">
        <f t="shared" si="11"/>
        <v>0</v>
      </c>
      <c r="AH26" t="s">
        <v>33</v>
      </c>
      <c r="AI26" s="14" t="s">
        <v>33</v>
      </c>
      <c r="AJ26" t="s">
        <v>33</v>
      </c>
      <c r="AK26" s="14" t="s">
        <v>33</v>
      </c>
      <c r="AL26" t="s">
        <v>33</v>
      </c>
      <c r="AM26" s="14" t="s">
        <v>33</v>
      </c>
      <c r="AN26" t="s">
        <v>33</v>
      </c>
      <c r="AO26" s="14" t="s">
        <v>33</v>
      </c>
      <c r="AP26" t="s">
        <v>33</v>
      </c>
      <c r="AQ26" s="14" t="s">
        <v>33</v>
      </c>
      <c r="AR26" t="s">
        <v>33</v>
      </c>
      <c r="AS26" s="14" t="s">
        <v>33</v>
      </c>
      <c r="AT26" t="s">
        <v>33</v>
      </c>
      <c r="AU26" s="14" t="s">
        <v>33</v>
      </c>
      <c r="AV26">
        <v>1</v>
      </c>
      <c r="AW26" s="14">
        <f>AV26*300</f>
        <v>300</v>
      </c>
      <c r="AX26" t="s">
        <v>33</v>
      </c>
      <c r="AY26" s="14" t="s">
        <v>33</v>
      </c>
      <c r="AZ26" t="s">
        <v>33</v>
      </c>
      <c r="BA26" s="14" t="s">
        <v>33</v>
      </c>
      <c r="BB26" t="s">
        <v>33</v>
      </c>
      <c r="BC26" s="14" t="s">
        <v>33</v>
      </c>
      <c r="BD26">
        <f t="shared" si="6"/>
        <v>85</v>
      </c>
      <c r="BE26">
        <f t="shared" si="7"/>
        <v>16704</v>
      </c>
      <c r="BF26">
        <f t="shared" si="8"/>
        <v>196.51764705882354</v>
      </c>
    </row>
    <row r="27" spans="1:59" x14ac:dyDescent="0.2">
      <c r="A27" t="s">
        <v>10</v>
      </c>
      <c r="B27" t="s">
        <v>6</v>
      </c>
      <c r="C27" t="s">
        <v>29</v>
      </c>
      <c r="D27" t="s">
        <v>33</v>
      </c>
      <c r="E27" s="14" t="s">
        <v>33</v>
      </c>
      <c r="F27">
        <v>0</v>
      </c>
      <c r="G27" s="14">
        <f t="shared" si="0"/>
        <v>0</v>
      </c>
      <c r="H27">
        <v>3</v>
      </c>
      <c r="I27" s="14">
        <f t="shared" si="1"/>
        <v>540</v>
      </c>
      <c r="J27">
        <v>18</v>
      </c>
      <c r="K27" s="14">
        <f t="shared" si="2"/>
        <v>3348</v>
      </c>
      <c r="L27">
        <v>20</v>
      </c>
      <c r="M27" s="14">
        <f t="shared" si="3"/>
        <v>3840</v>
      </c>
      <c r="N27">
        <v>22</v>
      </c>
      <c r="O27" s="14">
        <f t="shared" si="4"/>
        <v>4356</v>
      </c>
      <c r="P27">
        <v>9</v>
      </c>
      <c r="Q27" s="14">
        <f t="shared" si="5"/>
        <v>1836</v>
      </c>
      <c r="R27">
        <v>3</v>
      </c>
      <c r="S27" s="14">
        <f t="shared" si="9"/>
        <v>630</v>
      </c>
      <c r="T27">
        <v>1</v>
      </c>
      <c r="U27" s="14">
        <f t="shared" si="10"/>
        <v>216</v>
      </c>
      <c r="V27" t="s">
        <v>33</v>
      </c>
      <c r="W27" s="14" t="s">
        <v>33</v>
      </c>
      <c r="X27" t="s">
        <v>33</v>
      </c>
      <c r="Y27" s="14" t="s">
        <v>33</v>
      </c>
      <c r="Z27" t="s">
        <v>33</v>
      </c>
      <c r="AA27" s="14" t="s">
        <v>33</v>
      </c>
      <c r="AB27" t="s">
        <v>33</v>
      </c>
      <c r="AC27" s="14" t="s">
        <v>33</v>
      </c>
      <c r="AD27" t="s">
        <v>33</v>
      </c>
      <c r="AE27" s="14" t="s">
        <v>33</v>
      </c>
      <c r="AF27" t="s">
        <v>33</v>
      </c>
      <c r="AG27" s="14" t="s">
        <v>33</v>
      </c>
      <c r="AH27" t="s">
        <v>33</v>
      </c>
      <c r="AI27" s="14" t="s">
        <v>33</v>
      </c>
      <c r="AJ27" t="s">
        <v>33</v>
      </c>
      <c r="AK27" s="14" t="s">
        <v>33</v>
      </c>
      <c r="AL27" t="s">
        <v>33</v>
      </c>
      <c r="AM27" s="14" t="s">
        <v>33</v>
      </c>
      <c r="AN27" t="s">
        <v>33</v>
      </c>
      <c r="AO27" s="14" t="s">
        <v>33</v>
      </c>
      <c r="AP27" t="s">
        <v>33</v>
      </c>
      <c r="AQ27" s="14" t="s">
        <v>33</v>
      </c>
      <c r="AR27" t="s">
        <v>33</v>
      </c>
      <c r="AS27" s="14" t="s">
        <v>33</v>
      </c>
      <c r="AT27" t="s">
        <v>33</v>
      </c>
      <c r="AU27" s="14" t="s">
        <v>33</v>
      </c>
      <c r="AV27" t="s">
        <v>33</v>
      </c>
      <c r="AW27" s="14" t="s">
        <v>33</v>
      </c>
      <c r="AX27" t="s">
        <v>33</v>
      </c>
      <c r="AY27" s="14" t="s">
        <v>33</v>
      </c>
      <c r="AZ27" t="s">
        <v>33</v>
      </c>
      <c r="BA27" s="14" t="s">
        <v>33</v>
      </c>
      <c r="BB27" t="s">
        <v>33</v>
      </c>
      <c r="BC27" s="14" t="s">
        <v>33</v>
      </c>
      <c r="BD27">
        <f t="shared" si="6"/>
        <v>76</v>
      </c>
      <c r="BE27">
        <f t="shared" si="7"/>
        <v>14766</v>
      </c>
      <c r="BF27">
        <f t="shared" si="8"/>
        <v>194.28947368421052</v>
      </c>
    </row>
    <row r="28" spans="1:59" x14ac:dyDescent="0.2">
      <c r="A28" t="s">
        <v>10</v>
      </c>
      <c r="B28" t="s">
        <v>6</v>
      </c>
      <c r="C28" t="s">
        <v>30</v>
      </c>
      <c r="D28" t="s">
        <v>33</v>
      </c>
      <c r="E28" s="14" t="s">
        <v>33</v>
      </c>
      <c r="F28">
        <v>1</v>
      </c>
      <c r="G28" s="14">
        <f t="shared" si="0"/>
        <v>174</v>
      </c>
      <c r="H28">
        <v>6</v>
      </c>
      <c r="I28" s="14">
        <f t="shared" si="1"/>
        <v>1080</v>
      </c>
      <c r="J28">
        <v>14</v>
      </c>
      <c r="K28" s="14">
        <f t="shared" si="2"/>
        <v>2604</v>
      </c>
      <c r="L28">
        <v>18</v>
      </c>
      <c r="M28" s="14">
        <f t="shared" si="3"/>
        <v>3456</v>
      </c>
      <c r="N28">
        <v>16</v>
      </c>
      <c r="O28" s="14">
        <f t="shared" si="4"/>
        <v>3168</v>
      </c>
      <c r="P28">
        <v>11</v>
      </c>
      <c r="Q28" s="14">
        <f t="shared" si="5"/>
        <v>2244</v>
      </c>
      <c r="R28">
        <v>2</v>
      </c>
      <c r="S28" s="14">
        <f t="shared" si="9"/>
        <v>420</v>
      </c>
      <c r="T28">
        <v>0</v>
      </c>
      <c r="U28" s="14">
        <f t="shared" si="10"/>
        <v>0</v>
      </c>
      <c r="V28" t="s">
        <v>33</v>
      </c>
      <c r="W28" s="14" t="s">
        <v>33</v>
      </c>
      <c r="X28" t="s">
        <v>33</v>
      </c>
      <c r="Y28" s="14" t="s">
        <v>33</v>
      </c>
      <c r="Z28" t="s">
        <v>33</v>
      </c>
      <c r="AA28" s="14" t="s">
        <v>33</v>
      </c>
      <c r="AB28" t="s">
        <v>33</v>
      </c>
      <c r="AC28" s="14" t="s">
        <v>33</v>
      </c>
      <c r="AD28" t="s">
        <v>33</v>
      </c>
      <c r="AE28" s="14" t="s">
        <v>33</v>
      </c>
      <c r="AF28" t="s">
        <v>33</v>
      </c>
      <c r="AG28" s="14" t="s">
        <v>33</v>
      </c>
      <c r="AH28" t="s">
        <v>33</v>
      </c>
      <c r="AI28" s="14" t="s">
        <v>33</v>
      </c>
      <c r="AJ28" t="s">
        <v>33</v>
      </c>
      <c r="AK28" s="14" t="s">
        <v>33</v>
      </c>
      <c r="AL28" t="s">
        <v>33</v>
      </c>
      <c r="AM28" s="14" t="s">
        <v>33</v>
      </c>
      <c r="AN28" t="s">
        <v>33</v>
      </c>
      <c r="AO28" s="14" t="s">
        <v>33</v>
      </c>
      <c r="AP28" t="s">
        <v>33</v>
      </c>
      <c r="AQ28" s="14" t="s">
        <v>33</v>
      </c>
      <c r="AR28" t="s">
        <v>33</v>
      </c>
      <c r="AS28" s="14" t="s">
        <v>33</v>
      </c>
      <c r="AT28" t="s">
        <v>33</v>
      </c>
      <c r="AU28" s="14" t="s">
        <v>33</v>
      </c>
      <c r="AV28" t="s">
        <v>33</v>
      </c>
      <c r="AW28" s="14" t="s">
        <v>33</v>
      </c>
      <c r="AX28" t="s">
        <v>33</v>
      </c>
      <c r="AY28" s="14" t="s">
        <v>33</v>
      </c>
      <c r="AZ28" t="s">
        <v>33</v>
      </c>
      <c r="BA28" s="14" t="s">
        <v>33</v>
      </c>
      <c r="BB28" t="s">
        <v>33</v>
      </c>
      <c r="BC28" s="14" t="s">
        <v>33</v>
      </c>
      <c r="BD28">
        <f t="shared" si="6"/>
        <v>68</v>
      </c>
      <c r="BE28">
        <f t="shared" si="7"/>
        <v>13146</v>
      </c>
      <c r="BF28">
        <f t="shared" si="8"/>
        <v>193.3235294117647</v>
      </c>
    </row>
    <row r="29" spans="1:59" x14ac:dyDescent="0.2">
      <c r="A29" t="s">
        <v>10</v>
      </c>
      <c r="B29" t="s">
        <v>7</v>
      </c>
      <c r="C29" t="s">
        <v>29</v>
      </c>
      <c r="D29">
        <v>0</v>
      </c>
      <c r="E29" s="14">
        <v>0</v>
      </c>
      <c r="F29" t="s">
        <v>33</v>
      </c>
      <c r="G29" s="14" t="s">
        <v>33</v>
      </c>
      <c r="H29">
        <v>3</v>
      </c>
      <c r="I29" s="14">
        <f t="shared" si="1"/>
        <v>540</v>
      </c>
      <c r="J29">
        <v>11</v>
      </c>
      <c r="K29" s="14">
        <f t="shared" si="2"/>
        <v>2046</v>
      </c>
      <c r="L29">
        <v>26</v>
      </c>
      <c r="M29" s="14">
        <f t="shared" si="3"/>
        <v>4992</v>
      </c>
      <c r="N29">
        <v>25</v>
      </c>
      <c r="O29" s="14">
        <f t="shared" si="4"/>
        <v>4950</v>
      </c>
      <c r="P29">
        <v>8</v>
      </c>
      <c r="Q29" s="14">
        <f t="shared" si="5"/>
        <v>1632</v>
      </c>
      <c r="R29">
        <v>3</v>
      </c>
      <c r="S29" s="14">
        <f t="shared" si="9"/>
        <v>630</v>
      </c>
      <c r="T29">
        <v>1</v>
      </c>
      <c r="U29" s="14">
        <f t="shared" si="10"/>
        <v>216</v>
      </c>
      <c r="V29" t="s">
        <v>33</v>
      </c>
      <c r="W29" s="14" t="s">
        <v>33</v>
      </c>
      <c r="X29">
        <v>1</v>
      </c>
      <c r="Y29" s="14">
        <f>X29*228</f>
        <v>228</v>
      </c>
      <c r="Z29" t="s">
        <v>33</v>
      </c>
      <c r="AA29" s="14" t="s">
        <v>33</v>
      </c>
      <c r="AB29" t="s">
        <v>33</v>
      </c>
      <c r="AC29" s="14" t="s">
        <v>33</v>
      </c>
      <c r="AD29" t="s">
        <v>33</v>
      </c>
      <c r="AE29" s="14" t="s">
        <v>33</v>
      </c>
      <c r="AF29" t="s">
        <v>33</v>
      </c>
      <c r="AG29" s="14" t="s">
        <v>33</v>
      </c>
      <c r="AH29" t="s">
        <v>33</v>
      </c>
      <c r="AI29" s="14" t="s">
        <v>33</v>
      </c>
      <c r="AJ29" t="s">
        <v>33</v>
      </c>
      <c r="AK29" s="14" t="s">
        <v>33</v>
      </c>
      <c r="AL29">
        <v>1</v>
      </c>
      <c r="AM29" s="14">
        <f>AL29*270</f>
        <v>270</v>
      </c>
      <c r="AN29" t="s">
        <v>33</v>
      </c>
      <c r="AO29" s="14" t="s">
        <v>33</v>
      </c>
      <c r="AP29" t="s">
        <v>33</v>
      </c>
      <c r="AQ29" s="14" t="s">
        <v>33</v>
      </c>
      <c r="AR29" t="s">
        <v>33</v>
      </c>
      <c r="AS29" s="14" t="s">
        <v>33</v>
      </c>
      <c r="AT29" t="s">
        <v>33</v>
      </c>
      <c r="AU29" s="14" t="s">
        <v>33</v>
      </c>
      <c r="AV29" t="s">
        <v>33</v>
      </c>
      <c r="AW29" s="14" t="s">
        <v>33</v>
      </c>
      <c r="AX29" t="s">
        <v>33</v>
      </c>
      <c r="AY29" s="14" t="s">
        <v>33</v>
      </c>
      <c r="AZ29" t="s">
        <v>33</v>
      </c>
      <c r="BA29" s="14" t="s">
        <v>33</v>
      </c>
      <c r="BB29" t="s">
        <v>33</v>
      </c>
      <c r="BC29" s="14" t="s">
        <v>33</v>
      </c>
      <c r="BD29">
        <f t="shared" si="6"/>
        <v>79</v>
      </c>
      <c r="BE29">
        <f t="shared" si="7"/>
        <v>15504</v>
      </c>
      <c r="BF29">
        <f t="shared" si="8"/>
        <v>196.25316455696202</v>
      </c>
      <c r="BG29" t="s">
        <v>51</v>
      </c>
    </row>
    <row r="30" spans="1:59" x14ac:dyDescent="0.2">
      <c r="A30" t="s">
        <v>10</v>
      </c>
      <c r="B30" t="s">
        <v>7</v>
      </c>
      <c r="C30" t="s">
        <v>30</v>
      </c>
      <c r="D30">
        <v>1</v>
      </c>
      <c r="E30" s="14">
        <v>168</v>
      </c>
      <c r="F30" t="s">
        <v>33</v>
      </c>
      <c r="G30" s="14" t="s">
        <v>33</v>
      </c>
      <c r="H30">
        <v>6</v>
      </c>
      <c r="I30" s="14">
        <f t="shared" si="1"/>
        <v>1080</v>
      </c>
      <c r="J30">
        <v>30</v>
      </c>
      <c r="K30" s="14">
        <f t="shared" si="2"/>
        <v>5580</v>
      </c>
      <c r="L30">
        <v>21</v>
      </c>
      <c r="M30" s="14">
        <f t="shared" si="3"/>
        <v>4032</v>
      </c>
      <c r="N30">
        <v>10</v>
      </c>
      <c r="O30" s="14">
        <f t="shared" si="4"/>
        <v>1980</v>
      </c>
      <c r="P30">
        <v>5</v>
      </c>
      <c r="Q30" s="14">
        <f t="shared" si="5"/>
        <v>1020</v>
      </c>
      <c r="R30">
        <v>4</v>
      </c>
      <c r="S30" s="14">
        <f t="shared" si="9"/>
        <v>840</v>
      </c>
      <c r="T30">
        <v>0</v>
      </c>
      <c r="U30" s="14">
        <f t="shared" si="10"/>
        <v>0</v>
      </c>
      <c r="V30" t="s">
        <v>33</v>
      </c>
      <c r="W30" s="14" t="s">
        <v>33</v>
      </c>
      <c r="X30">
        <v>0</v>
      </c>
      <c r="Y30" s="14">
        <f>X30*228</f>
        <v>0</v>
      </c>
      <c r="Z30" t="s">
        <v>33</v>
      </c>
      <c r="AA30" s="14" t="s">
        <v>33</v>
      </c>
      <c r="AB30" t="s">
        <v>33</v>
      </c>
      <c r="AC30" s="14" t="s">
        <v>33</v>
      </c>
      <c r="AD30" t="s">
        <v>33</v>
      </c>
      <c r="AE30" s="14" t="s">
        <v>33</v>
      </c>
      <c r="AF30" t="s">
        <v>33</v>
      </c>
      <c r="AG30" s="14" t="s">
        <v>33</v>
      </c>
      <c r="AH30" t="s">
        <v>33</v>
      </c>
      <c r="AI30" s="14" t="s">
        <v>33</v>
      </c>
      <c r="AJ30" t="s">
        <v>33</v>
      </c>
      <c r="AK30" s="14" t="s">
        <v>33</v>
      </c>
      <c r="AL30">
        <v>0</v>
      </c>
      <c r="AM30" s="14">
        <f>AL30*270</f>
        <v>0</v>
      </c>
      <c r="AN30" t="s">
        <v>33</v>
      </c>
      <c r="AO30" s="14" t="s">
        <v>33</v>
      </c>
      <c r="AP30" t="s">
        <v>33</v>
      </c>
      <c r="AQ30" s="14" t="s">
        <v>33</v>
      </c>
      <c r="AR30" t="s">
        <v>33</v>
      </c>
      <c r="AS30" s="14" t="s">
        <v>33</v>
      </c>
      <c r="AT30" t="s">
        <v>33</v>
      </c>
      <c r="AU30" s="14" t="s">
        <v>33</v>
      </c>
      <c r="AV30" t="s">
        <v>33</v>
      </c>
      <c r="AW30" s="14" t="s">
        <v>33</v>
      </c>
      <c r="AX30" t="s">
        <v>33</v>
      </c>
      <c r="AY30" s="14" t="s">
        <v>33</v>
      </c>
      <c r="AZ30" t="s">
        <v>33</v>
      </c>
      <c r="BA30" s="14" t="s">
        <v>33</v>
      </c>
      <c r="BB30" t="s">
        <v>33</v>
      </c>
      <c r="BC30" s="14" t="s">
        <v>33</v>
      </c>
      <c r="BD30">
        <f t="shared" si="6"/>
        <v>77</v>
      </c>
      <c r="BE30">
        <f t="shared" si="7"/>
        <v>14700</v>
      </c>
      <c r="BF30">
        <f t="shared" si="8"/>
        <v>190.90909090909091</v>
      </c>
    </row>
    <row r="31" spans="1:59" x14ac:dyDescent="0.2">
      <c r="A31" t="s">
        <v>10</v>
      </c>
      <c r="B31" t="s">
        <v>8</v>
      </c>
      <c r="C31" t="s">
        <v>29</v>
      </c>
      <c r="D31" t="s">
        <v>33</v>
      </c>
      <c r="E31" s="14" t="s">
        <v>33</v>
      </c>
      <c r="F31">
        <v>1</v>
      </c>
      <c r="G31" s="14">
        <f t="shared" si="0"/>
        <v>174</v>
      </c>
      <c r="H31">
        <v>1</v>
      </c>
      <c r="I31" s="14">
        <f t="shared" si="1"/>
        <v>180</v>
      </c>
      <c r="J31">
        <v>11</v>
      </c>
      <c r="K31" s="14">
        <f t="shared" si="2"/>
        <v>2046</v>
      </c>
      <c r="L31">
        <v>34</v>
      </c>
      <c r="M31" s="14">
        <f t="shared" si="3"/>
        <v>6528</v>
      </c>
      <c r="N31">
        <v>25</v>
      </c>
      <c r="O31" s="14">
        <f t="shared" si="4"/>
        <v>4950</v>
      </c>
      <c r="P31">
        <v>11</v>
      </c>
      <c r="Q31" s="14">
        <f t="shared" si="5"/>
        <v>2244</v>
      </c>
      <c r="R31">
        <v>4</v>
      </c>
      <c r="S31" s="14">
        <f t="shared" si="9"/>
        <v>840</v>
      </c>
      <c r="T31" t="s">
        <v>33</v>
      </c>
      <c r="U31" s="14" t="s">
        <v>33</v>
      </c>
      <c r="V31" t="s">
        <v>33</v>
      </c>
      <c r="W31" s="14" t="s">
        <v>33</v>
      </c>
      <c r="X31">
        <v>3</v>
      </c>
      <c r="Y31" s="14">
        <f>X31*228</f>
        <v>684</v>
      </c>
      <c r="Z31" t="s">
        <v>33</v>
      </c>
      <c r="AA31" s="14" t="s">
        <v>33</v>
      </c>
      <c r="AB31" t="s">
        <v>33</v>
      </c>
      <c r="AC31" s="14" t="s">
        <v>33</v>
      </c>
      <c r="AD31" t="s">
        <v>33</v>
      </c>
      <c r="AE31" s="14" t="s">
        <v>33</v>
      </c>
      <c r="AF31">
        <v>1</v>
      </c>
      <c r="AG31" s="14">
        <f t="shared" si="11"/>
        <v>252</v>
      </c>
      <c r="AH31" t="s">
        <v>33</v>
      </c>
      <c r="AI31" s="14" t="s">
        <v>33</v>
      </c>
      <c r="AJ31" t="s">
        <v>33</v>
      </c>
      <c r="AK31" s="14" t="s">
        <v>33</v>
      </c>
      <c r="AL31">
        <v>0</v>
      </c>
      <c r="AM31" s="14">
        <f>AL31*270</f>
        <v>0</v>
      </c>
      <c r="AN31" t="s">
        <v>33</v>
      </c>
      <c r="AO31" s="14" t="s">
        <v>33</v>
      </c>
      <c r="AP31" t="s">
        <v>33</v>
      </c>
      <c r="AQ31" s="14" t="s">
        <v>33</v>
      </c>
      <c r="AR31" t="s">
        <v>33</v>
      </c>
      <c r="AS31" s="14" t="s">
        <v>33</v>
      </c>
      <c r="AT31" t="s">
        <v>33</v>
      </c>
      <c r="AU31" s="14" t="s">
        <v>33</v>
      </c>
      <c r="AV31" t="s">
        <v>33</v>
      </c>
      <c r="AW31" s="14" t="s">
        <v>33</v>
      </c>
      <c r="AX31" t="s">
        <v>33</v>
      </c>
      <c r="AY31" s="14" t="s">
        <v>33</v>
      </c>
      <c r="AZ31" t="s">
        <v>33</v>
      </c>
      <c r="BA31" s="14" t="s">
        <v>33</v>
      </c>
      <c r="BB31" t="s">
        <v>33</v>
      </c>
      <c r="BC31" s="14" t="s">
        <v>33</v>
      </c>
      <c r="BD31">
        <f t="shared" si="6"/>
        <v>91</v>
      </c>
      <c r="BE31">
        <f t="shared" si="7"/>
        <v>17898</v>
      </c>
      <c r="BF31">
        <f t="shared" si="8"/>
        <v>196.68131868131869</v>
      </c>
    </row>
    <row r="32" spans="1:59" x14ac:dyDescent="0.2">
      <c r="A32" t="s">
        <v>10</v>
      </c>
      <c r="B32" t="s">
        <v>8</v>
      </c>
      <c r="C32" t="s">
        <v>30</v>
      </c>
      <c r="D32" t="s">
        <v>33</v>
      </c>
      <c r="E32" s="14" t="s">
        <v>33</v>
      </c>
      <c r="F32">
        <v>1</v>
      </c>
      <c r="G32" s="14">
        <f t="shared" si="0"/>
        <v>174</v>
      </c>
      <c r="H32">
        <v>7</v>
      </c>
      <c r="I32" s="14">
        <f t="shared" si="1"/>
        <v>1260</v>
      </c>
      <c r="J32">
        <v>17</v>
      </c>
      <c r="K32" s="14">
        <f t="shared" si="2"/>
        <v>3162</v>
      </c>
      <c r="L32">
        <v>26</v>
      </c>
      <c r="M32" s="14">
        <f t="shared" si="3"/>
        <v>4992</v>
      </c>
      <c r="N32">
        <v>23</v>
      </c>
      <c r="O32" s="14">
        <f t="shared" si="4"/>
        <v>4554</v>
      </c>
      <c r="P32">
        <v>7</v>
      </c>
      <c r="Q32" s="14">
        <f t="shared" si="5"/>
        <v>1428</v>
      </c>
      <c r="R32">
        <v>4</v>
      </c>
      <c r="S32" s="14">
        <f t="shared" si="9"/>
        <v>840</v>
      </c>
      <c r="T32" t="s">
        <v>33</v>
      </c>
      <c r="U32" s="14" t="s">
        <v>33</v>
      </c>
      <c r="V32" t="s">
        <v>33</v>
      </c>
      <c r="W32" s="14" t="s">
        <v>33</v>
      </c>
      <c r="X32">
        <v>0</v>
      </c>
      <c r="Y32" s="14">
        <f>X32*228</f>
        <v>0</v>
      </c>
      <c r="Z32" t="s">
        <v>33</v>
      </c>
      <c r="AA32" s="14" t="s">
        <v>33</v>
      </c>
      <c r="AB32" t="s">
        <v>33</v>
      </c>
      <c r="AC32" s="14" t="s">
        <v>33</v>
      </c>
      <c r="AD32" t="s">
        <v>33</v>
      </c>
      <c r="AE32" s="14" t="s">
        <v>33</v>
      </c>
      <c r="AF32">
        <v>1</v>
      </c>
      <c r="AG32" s="14">
        <f t="shared" si="11"/>
        <v>252</v>
      </c>
      <c r="AH32" t="s">
        <v>33</v>
      </c>
      <c r="AI32" s="14" t="s">
        <v>33</v>
      </c>
      <c r="AJ32" t="s">
        <v>33</v>
      </c>
      <c r="AK32" s="14" t="s">
        <v>33</v>
      </c>
      <c r="AL32">
        <v>1</v>
      </c>
      <c r="AM32" s="14">
        <f>AL32*270</f>
        <v>270</v>
      </c>
      <c r="AN32" t="s">
        <v>33</v>
      </c>
      <c r="AO32" s="14" t="s">
        <v>33</v>
      </c>
      <c r="AP32" t="s">
        <v>33</v>
      </c>
      <c r="AQ32" s="14" t="s">
        <v>33</v>
      </c>
      <c r="AR32" t="s">
        <v>33</v>
      </c>
      <c r="AS32" s="14" t="s">
        <v>33</v>
      </c>
      <c r="AT32" t="s">
        <v>33</v>
      </c>
      <c r="AU32" s="14" t="s">
        <v>33</v>
      </c>
      <c r="AV32" t="s">
        <v>33</v>
      </c>
      <c r="AW32" s="14" t="s">
        <v>33</v>
      </c>
      <c r="AX32" t="s">
        <v>33</v>
      </c>
      <c r="AY32" s="14" t="s">
        <v>33</v>
      </c>
      <c r="AZ32" t="s">
        <v>33</v>
      </c>
      <c r="BA32" s="14" t="s">
        <v>33</v>
      </c>
      <c r="BB32" t="s">
        <v>33</v>
      </c>
      <c r="BC32" s="14" t="s">
        <v>33</v>
      </c>
      <c r="BD32">
        <f t="shared" si="6"/>
        <v>87</v>
      </c>
      <c r="BE32">
        <f t="shared" si="7"/>
        <v>16932</v>
      </c>
      <c r="BF32">
        <f t="shared" si="8"/>
        <v>194.62068965517241</v>
      </c>
    </row>
    <row r="33" spans="1:58" x14ac:dyDescent="0.2">
      <c r="A33" t="s">
        <v>11</v>
      </c>
      <c r="B33" t="s">
        <v>4</v>
      </c>
      <c r="C33" t="s">
        <v>29</v>
      </c>
      <c r="D33">
        <v>0</v>
      </c>
      <c r="E33" s="14">
        <v>0</v>
      </c>
      <c r="F33">
        <v>0</v>
      </c>
      <c r="G33" s="14">
        <f t="shared" si="0"/>
        <v>0</v>
      </c>
      <c r="H33">
        <v>19</v>
      </c>
      <c r="I33" s="14">
        <f t="shared" si="1"/>
        <v>3420</v>
      </c>
      <c r="J33">
        <v>20</v>
      </c>
      <c r="K33" s="14">
        <f t="shared" si="2"/>
        <v>3720</v>
      </c>
      <c r="L33">
        <v>2</v>
      </c>
      <c r="M33" s="14">
        <f t="shared" si="3"/>
        <v>384</v>
      </c>
      <c r="N33" t="s">
        <v>33</v>
      </c>
      <c r="O33" s="14" t="s">
        <v>33</v>
      </c>
      <c r="P33" t="s">
        <v>33</v>
      </c>
      <c r="Q33" s="14" t="s">
        <v>33</v>
      </c>
      <c r="R33" t="s">
        <v>33</v>
      </c>
      <c r="S33" s="14" t="s">
        <v>33</v>
      </c>
      <c r="T33" t="s">
        <v>33</v>
      </c>
      <c r="U33" s="14" t="s">
        <v>33</v>
      </c>
      <c r="V33" t="s">
        <v>33</v>
      </c>
      <c r="W33" s="14" t="s">
        <v>33</v>
      </c>
      <c r="X33" t="s">
        <v>33</v>
      </c>
      <c r="Y33" s="14" t="s">
        <v>33</v>
      </c>
      <c r="Z33" t="s">
        <v>33</v>
      </c>
      <c r="AA33" s="14" t="s">
        <v>33</v>
      </c>
      <c r="AB33" t="s">
        <v>33</v>
      </c>
      <c r="AC33" s="14" t="s">
        <v>33</v>
      </c>
      <c r="AD33" t="s">
        <v>33</v>
      </c>
      <c r="AE33" s="14" t="s">
        <v>33</v>
      </c>
      <c r="AF33" t="s">
        <v>33</v>
      </c>
      <c r="AG33" s="14" t="s">
        <v>33</v>
      </c>
      <c r="AH33" t="s">
        <v>33</v>
      </c>
      <c r="AI33" s="14" t="s">
        <v>33</v>
      </c>
      <c r="AJ33" t="s">
        <v>33</v>
      </c>
      <c r="AK33" s="14" t="s">
        <v>33</v>
      </c>
      <c r="AL33" t="s">
        <v>33</v>
      </c>
      <c r="AM33" s="14" t="s">
        <v>33</v>
      </c>
      <c r="AN33" t="s">
        <v>33</v>
      </c>
      <c r="AO33" s="14" t="s">
        <v>33</v>
      </c>
      <c r="AP33" t="s">
        <v>33</v>
      </c>
      <c r="AQ33" s="14" t="s">
        <v>33</v>
      </c>
      <c r="AR33" t="s">
        <v>33</v>
      </c>
      <c r="AS33" s="14" t="s">
        <v>33</v>
      </c>
      <c r="AT33" t="s">
        <v>33</v>
      </c>
      <c r="AU33" s="14" t="s">
        <v>33</v>
      </c>
      <c r="AV33" t="s">
        <v>33</v>
      </c>
      <c r="AW33" s="14" t="s">
        <v>33</v>
      </c>
      <c r="AX33" t="s">
        <v>33</v>
      </c>
      <c r="AY33" s="14" t="s">
        <v>33</v>
      </c>
      <c r="AZ33" t="s">
        <v>33</v>
      </c>
      <c r="BA33" s="14" t="s">
        <v>33</v>
      </c>
      <c r="BB33" t="s">
        <v>33</v>
      </c>
      <c r="BC33" s="14" t="s">
        <v>33</v>
      </c>
      <c r="BD33">
        <f t="shared" si="6"/>
        <v>41</v>
      </c>
      <c r="BE33">
        <f t="shared" si="7"/>
        <v>7524</v>
      </c>
      <c r="BF33">
        <f t="shared" si="8"/>
        <v>183.51219512195121</v>
      </c>
    </row>
    <row r="34" spans="1:58" x14ac:dyDescent="0.2">
      <c r="A34" t="s">
        <v>11</v>
      </c>
      <c r="B34" t="s">
        <v>4</v>
      </c>
      <c r="C34" t="s">
        <v>30</v>
      </c>
      <c r="D34">
        <v>1</v>
      </c>
      <c r="E34" s="14">
        <v>168</v>
      </c>
      <c r="F34">
        <v>12</v>
      </c>
      <c r="G34" s="14">
        <f t="shared" si="0"/>
        <v>2088</v>
      </c>
      <c r="H34">
        <v>20</v>
      </c>
      <c r="I34" s="14">
        <f t="shared" si="1"/>
        <v>3600</v>
      </c>
      <c r="J34">
        <v>2</v>
      </c>
      <c r="K34" s="14">
        <f t="shared" si="2"/>
        <v>372</v>
      </c>
      <c r="L34">
        <v>0</v>
      </c>
      <c r="M34" s="14">
        <f t="shared" si="3"/>
        <v>0</v>
      </c>
      <c r="N34" t="s">
        <v>33</v>
      </c>
      <c r="O34" s="14" t="s">
        <v>33</v>
      </c>
      <c r="P34" t="s">
        <v>33</v>
      </c>
      <c r="Q34" s="14" t="s">
        <v>33</v>
      </c>
      <c r="R34" t="s">
        <v>33</v>
      </c>
      <c r="S34" s="14" t="s">
        <v>33</v>
      </c>
      <c r="T34" t="s">
        <v>33</v>
      </c>
      <c r="U34" s="14" t="s">
        <v>33</v>
      </c>
      <c r="V34" t="s">
        <v>33</v>
      </c>
      <c r="W34" s="14" t="s">
        <v>33</v>
      </c>
      <c r="X34" t="s">
        <v>33</v>
      </c>
      <c r="Y34" s="14" t="s">
        <v>33</v>
      </c>
      <c r="Z34" t="s">
        <v>33</v>
      </c>
      <c r="AA34" s="14" t="s">
        <v>33</v>
      </c>
      <c r="AB34" t="s">
        <v>33</v>
      </c>
      <c r="AC34" s="14" t="s">
        <v>33</v>
      </c>
      <c r="AD34" t="s">
        <v>33</v>
      </c>
      <c r="AE34" s="14" t="s">
        <v>33</v>
      </c>
      <c r="AF34" t="s">
        <v>33</v>
      </c>
      <c r="AG34" s="14" t="s">
        <v>33</v>
      </c>
      <c r="AH34" t="s">
        <v>33</v>
      </c>
      <c r="AI34" s="14" t="s">
        <v>33</v>
      </c>
      <c r="AJ34" t="s">
        <v>33</v>
      </c>
      <c r="AK34" s="14" t="s">
        <v>33</v>
      </c>
      <c r="AL34" t="s">
        <v>33</v>
      </c>
      <c r="AM34" s="14" t="s">
        <v>33</v>
      </c>
      <c r="AN34" t="s">
        <v>33</v>
      </c>
      <c r="AO34" s="14" t="s">
        <v>33</v>
      </c>
      <c r="AP34" t="s">
        <v>33</v>
      </c>
      <c r="AQ34" s="14" t="s">
        <v>33</v>
      </c>
      <c r="AR34" t="s">
        <v>33</v>
      </c>
      <c r="AS34" s="14" t="s">
        <v>33</v>
      </c>
      <c r="AT34" t="s">
        <v>33</v>
      </c>
      <c r="AU34" s="14" t="s">
        <v>33</v>
      </c>
      <c r="AV34" t="s">
        <v>33</v>
      </c>
      <c r="AW34" s="14" t="s">
        <v>33</v>
      </c>
      <c r="AX34" t="s">
        <v>33</v>
      </c>
      <c r="AY34" s="14" t="s">
        <v>33</v>
      </c>
      <c r="AZ34" t="s">
        <v>33</v>
      </c>
      <c r="BA34" s="14" t="s">
        <v>33</v>
      </c>
      <c r="BB34" t="s">
        <v>33</v>
      </c>
      <c r="BC34" s="14" t="s">
        <v>33</v>
      </c>
      <c r="BD34">
        <f t="shared" si="6"/>
        <v>35</v>
      </c>
      <c r="BE34">
        <f t="shared" si="7"/>
        <v>6228</v>
      </c>
      <c r="BF34">
        <f t="shared" si="8"/>
        <v>177.94285714285715</v>
      </c>
    </row>
    <row r="35" spans="1:58" x14ac:dyDescent="0.2">
      <c r="A35" t="s">
        <v>11</v>
      </c>
      <c r="B35" t="s">
        <v>5</v>
      </c>
      <c r="C35" t="s">
        <v>29</v>
      </c>
      <c r="D35">
        <v>0</v>
      </c>
      <c r="E35" s="14">
        <v>0</v>
      </c>
      <c r="F35">
        <v>1</v>
      </c>
      <c r="G35" s="14">
        <f t="shared" si="0"/>
        <v>174</v>
      </c>
      <c r="H35">
        <v>5</v>
      </c>
      <c r="I35" s="14">
        <f t="shared" si="1"/>
        <v>900</v>
      </c>
      <c r="J35">
        <v>17</v>
      </c>
      <c r="K35" s="14">
        <f t="shared" si="2"/>
        <v>3162</v>
      </c>
      <c r="L35">
        <v>30</v>
      </c>
      <c r="M35" s="14">
        <f t="shared" si="3"/>
        <v>5760</v>
      </c>
      <c r="N35">
        <v>25</v>
      </c>
      <c r="O35" s="14">
        <f t="shared" si="4"/>
        <v>4950</v>
      </c>
      <c r="P35">
        <v>8</v>
      </c>
      <c r="Q35" s="14">
        <f t="shared" si="5"/>
        <v>1632</v>
      </c>
      <c r="R35">
        <v>1</v>
      </c>
      <c r="S35" s="14">
        <f t="shared" si="9"/>
        <v>210</v>
      </c>
      <c r="T35" t="s">
        <v>33</v>
      </c>
      <c r="U35" s="14" t="s">
        <v>33</v>
      </c>
      <c r="V35" t="s">
        <v>33</v>
      </c>
      <c r="W35" s="14" t="s">
        <v>33</v>
      </c>
      <c r="X35" t="s">
        <v>33</v>
      </c>
      <c r="Y35" s="14" t="s">
        <v>33</v>
      </c>
      <c r="Z35">
        <v>1</v>
      </c>
      <c r="AA35" s="14">
        <f>Z35*234</f>
        <v>234</v>
      </c>
      <c r="AB35" t="s">
        <v>33</v>
      </c>
      <c r="AC35" s="14" t="s">
        <v>33</v>
      </c>
      <c r="AD35" t="s">
        <v>33</v>
      </c>
      <c r="AE35" s="14" t="s">
        <v>33</v>
      </c>
      <c r="AF35" t="s">
        <v>33</v>
      </c>
      <c r="AG35" s="14" t="s">
        <v>33</v>
      </c>
      <c r="AH35" t="s">
        <v>33</v>
      </c>
      <c r="AI35" s="14" t="s">
        <v>33</v>
      </c>
      <c r="AJ35" t="s">
        <v>33</v>
      </c>
      <c r="AK35" s="14" t="s">
        <v>33</v>
      </c>
      <c r="AL35" t="s">
        <v>33</v>
      </c>
      <c r="AM35" s="14" t="s">
        <v>33</v>
      </c>
      <c r="AN35" t="s">
        <v>33</v>
      </c>
      <c r="AO35" s="14" t="s">
        <v>33</v>
      </c>
      <c r="AP35" t="s">
        <v>33</v>
      </c>
      <c r="AQ35" s="14" t="s">
        <v>33</v>
      </c>
      <c r="AR35" t="s">
        <v>33</v>
      </c>
      <c r="AS35" s="14" t="s">
        <v>33</v>
      </c>
      <c r="AT35" t="s">
        <v>33</v>
      </c>
      <c r="AU35" s="14" t="s">
        <v>33</v>
      </c>
      <c r="AV35" t="s">
        <v>33</v>
      </c>
      <c r="AW35" s="14" t="s">
        <v>33</v>
      </c>
      <c r="AX35" t="s">
        <v>33</v>
      </c>
      <c r="AY35" s="14" t="s">
        <v>33</v>
      </c>
      <c r="AZ35" t="s">
        <v>33</v>
      </c>
      <c r="BA35" s="14" t="s">
        <v>33</v>
      </c>
      <c r="BB35" t="s">
        <v>33</v>
      </c>
      <c r="BC35" s="14" t="s">
        <v>33</v>
      </c>
      <c r="BD35">
        <f t="shared" si="6"/>
        <v>88</v>
      </c>
      <c r="BE35">
        <f t="shared" si="7"/>
        <v>17022</v>
      </c>
      <c r="BF35">
        <f t="shared" si="8"/>
        <v>193.43181818181819</v>
      </c>
    </row>
    <row r="36" spans="1:58" x14ac:dyDescent="0.2">
      <c r="A36" t="s">
        <v>11</v>
      </c>
      <c r="B36" t="s">
        <v>5</v>
      </c>
      <c r="C36" t="s">
        <v>30</v>
      </c>
      <c r="D36">
        <v>1</v>
      </c>
      <c r="E36" s="14">
        <v>168</v>
      </c>
      <c r="F36">
        <v>7</v>
      </c>
      <c r="G36" s="14">
        <f t="shared" si="0"/>
        <v>1218</v>
      </c>
      <c r="H36">
        <v>11</v>
      </c>
      <c r="I36" s="14">
        <f t="shared" si="1"/>
        <v>1980</v>
      </c>
      <c r="J36">
        <v>21</v>
      </c>
      <c r="K36" s="14">
        <f t="shared" si="2"/>
        <v>3906</v>
      </c>
      <c r="L36">
        <v>18</v>
      </c>
      <c r="M36" s="14">
        <f t="shared" si="3"/>
        <v>3456</v>
      </c>
      <c r="N36">
        <v>10</v>
      </c>
      <c r="O36" s="14">
        <f t="shared" si="4"/>
        <v>1980</v>
      </c>
      <c r="P36">
        <v>5</v>
      </c>
      <c r="Q36" s="14">
        <f t="shared" si="5"/>
        <v>1020</v>
      </c>
      <c r="R36">
        <v>0</v>
      </c>
      <c r="S36" s="14">
        <f t="shared" si="9"/>
        <v>0</v>
      </c>
      <c r="T36" t="s">
        <v>33</v>
      </c>
      <c r="U36" s="14" t="s">
        <v>33</v>
      </c>
      <c r="V36" t="s">
        <v>33</v>
      </c>
      <c r="W36" s="14" t="s">
        <v>33</v>
      </c>
      <c r="X36" t="s">
        <v>33</v>
      </c>
      <c r="Y36" s="14" t="s">
        <v>33</v>
      </c>
      <c r="Z36">
        <v>0</v>
      </c>
      <c r="AA36" s="14">
        <f>Z36*234</f>
        <v>0</v>
      </c>
      <c r="AB36" t="s">
        <v>33</v>
      </c>
      <c r="AC36" s="14" t="s">
        <v>33</v>
      </c>
      <c r="AD36" t="s">
        <v>33</v>
      </c>
      <c r="AE36" s="14" t="s">
        <v>33</v>
      </c>
      <c r="AF36" t="s">
        <v>33</v>
      </c>
      <c r="AG36" s="14" t="s">
        <v>33</v>
      </c>
      <c r="AH36" t="s">
        <v>33</v>
      </c>
      <c r="AI36" s="14" t="s">
        <v>33</v>
      </c>
      <c r="AJ36" t="s">
        <v>33</v>
      </c>
      <c r="AK36" s="14" t="s">
        <v>33</v>
      </c>
      <c r="AL36" t="s">
        <v>33</v>
      </c>
      <c r="AM36" s="14" t="s">
        <v>33</v>
      </c>
      <c r="AN36" t="s">
        <v>33</v>
      </c>
      <c r="AO36" s="14" t="s">
        <v>33</v>
      </c>
      <c r="AP36" t="s">
        <v>33</v>
      </c>
      <c r="AQ36" s="14" t="s">
        <v>33</v>
      </c>
      <c r="AR36" t="s">
        <v>33</v>
      </c>
      <c r="AS36" s="14" t="s">
        <v>33</v>
      </c>
      <c r="AT36" t="s">
        <v>33</v>
      </c>
      <c r="AU36" s="14" t="s">
        <v>33</v>
      </c>
      <c r="AV36" t="s">
        <v>33</v>
      </c>
      <c r="AW36" s="14" t="s">
        <v>33</v>
      </c>
      <c r="AX36" t="s">
        <v>33</v>
      </c>
      <c r="AY36" s="14" t="s">
        <v>33</v>
      </c>
      <c r="AZ36" t="s">
        <v>33</v>
      </c>
      <c r="BA36" s="14" t="s">
        <v>33</v>
      </c>
      <c r="BB36" t="s">
        <v>33</v>
      </c>
      <c r="BC36" s="14" t="s">
        <v>33</v>
      </c>
      <c r="BD36">
        <f t="shared" si="6"/>
        <v>73</v>
      </c>
      <c r="BE36">
        <f t="shared" si="7"/>
        <v>13728</v>
      </c>
      <c r="BF36">
        <f t="shared" si="8"/>
        <v>188.05479452054794</v>
      </c>
    </row>
    <row r="37" spans="1:58" x14ac:dyDescent="0.2">
      <c r="A37" t="s">
        <v>11</v>
      </c>
      <c r="B37" t="s">
        <v>6</v>
      </c>
      <c r="C37" t="s">
        <v>29</v>
      </c>
      <c r="D37">
        <v>0</v>
      </c>
      <c r="E37" s="14">
        <v>0</v>
      </c>
      <c r="F37">
        <v>3</v>
      </c>
      <c r="G37" s="14">
        <f t="shared" si="0"/>
        <v>522</v>
      </c>
      <c r="H37">
        <v>3</v>
      </c>
      <c r="I37" s="14">
        <f t="shared" si="1"/>
        <v>540</v>
      </c>
      <c r="J37">
        <v>25</v>
      </c>
      <c r="K37" s="14">
        <f t="shared" si="2"/>
        <v>4650</v>
      </c>
      <c r="L37">
        <v>21</v>
      </c>
      <c r="M37" s="14">
        <f t="shared" si="3"/>
        <v>4032</v>
      </c>
      <c r="N37">
        <v>6</v>
      </c>
      <c r="O37" s="14">
        <f t="shared" si="4"/>
        <v>1188</v>
      </c>
      <c r="P37" t="s">
        <v>33</v>
      </c>
      <c r="Q37" s="14" t="s">
        <v>33</v>
      </c>
      <c r="R37">
        <v>2</v>
      </c>
      <c r="S37" s="14">
        <f t="shared" si="9"/>
        <v>420</v>
      </c>
      <c r="T37" t="s">
        <v>33</v>
      </c>
      <c r="U37" s="14" t="s">
        <v>33</v>
      </c>
      <c r="V37" t="s">
        <v>33</v>
      </c>
      <c r="W37" s="14" t="s">
        <v>33</v>
      </c>
      <c r="X37" t="s">
        <v>33</v>
      </c>
      <c r="Y37" s="14" t="s">
        <v>33</v>
      </c>
      <c r="Z37" t="s">
        <v>33</v>
      </c>
      <c r="AA37" s="14" t="s">
        <v>33</v>
      </c>
      <c r="AB37" t="s">
        <v>33</v>
      </c>
      <c r="AC37" s="14" t="s">
        <v>33</v>
      </c>
      <c r="AD37">
        <v>1</v>
      </c>
      <c r="AE37" s="14">
        <f>AD37*246</f>
        <v>246</v>
      </c>
      <c r="AF37" t="s">
        <v>33</v>
      </c>
      <c r="AG37" s="14" t="s">
        <v>33</v>
      </c>
      <c r="AH37" t="s">
        <v>33</v>
      </c>
      <c r="AI37" s="14" t="s">
        <v>33</v>
      </c>
      <c r="AJ37" t="s">
        <v>33</v>
      </c>
      <c r="AK37" s="14" t="s">
        <v>33</v>
      </c>
      <c r="AL37" t="s">
        <v>33</v>
      </c>
      <c r="AM37" s="14" t="s">
        <v>33</v>
      </c>
      <c r="AN37" t="s">
        <v>33</v>
      </c>
      <c r="AO37" s="14" t="s">
        <v>33</v>
      </c>
      <c r="AP37" t="s">
        <v>33</v>
      </c>
      <c r="AQ37" s="14" t="s">
        <v>33</v>
      </c>
      <c r="AR37" t="s">
        <v>33</v>
      </c>
      <c r="AS37" s="14" t="s">
        <v>33</v>
      </c>
      <c r="AT37" t="s">
        <v>33</v>
      </c>
      <c r="AU37" s="14" t="s">
        <v>33</v>
      </c>
      <c r="AV37" t="s">
        <v>33</v>
      </c>
      <c r="AW37" s="14" t="s">
        <v>33</v>
      </c>
      <c r="AX37" t="s">
        <v>33</v>
      </c>
      <c r="AY37" s="14" t="s">
        <v>33</v>
      </c>
      <c r="AZ37" t="s">
        <v>33</v>
      </c>
      <c r="BA37" s="14" t="s">
        <v>33</v>
      </c>
      <c r="BB37" t="s">
        <v>33</v>
      </c>
      <c r="BC37" s="14" t="s">
        <v>33</v>
      </c>
      <c r="BD37">
        <f t="shared" si="6"/>
        <v>61</v>
      </c>
      <c r="BE37">
        <f t="shared" si="7"/>
        <v>11598</v>
      </c>
      <c r="BF37">
        <f t="shared" si="8"/>
        <v>190.13114754098362</v>
      </c>
    </row>
    <row r="38" spans="1:58" x14ac:dyDescent="0.2">
      <c r="A38" t="s">
        <v>11</v>
      </c>
      <c r="B38" t="s">
        <v>6</v>
      </c>
      <c r="C38" t="s">
        <v>30</v>
      </c>
      <c r="D38">
        <v>1</v>
      </c>
      <c r="E38" s="14">
        <v>168</v>
      </c>
      <c r="F38">
        <v>3</v>
      </c>
      <c r="G38" s="14">
        <f t="shared" si="0"/>
        <v>522</v>
      </c>
      <c r="H38">
        <v>13</v>
      </c>
      <c r="I38" s="14">
        <f t="shared" si="1"/>
        <v>2340</v>
      </c>
      <c r="J38">
        <v>26</v>
      </c>
      <c r="K38" s="14">
        <f t="shared" si="2"/>
        <v>4836</v>
      </c>
      <c r="L38">
        <v>8</v>
      </c>
      <c r="M38" s="14">
        <f t="shared" si="3"/>
        <v>1536</v>
      </c>
      <c r="N38">
        <v>0</v>
      </c>
      <c r="O38" s="14">
        <f t="shared" si="4"/>
        <v>0</v>
      </c>
      <c r="P38" t="s">
        <v>33</v>
      </c>
      <c r="Q38" s="14" t="s">
        <v>33</v>
      </c>
      <c r="R38">
        <v>0</v>
      </c>
      <c r="S38" s="14">
        <f t="shared" si="9"/>
        <v>0</v>
      </c>
      <c r="T38" t="s">
        <v>33</v>
      </c>
      <c r="U38" s="14" t="s">
        <v>33</v>
      </c>
      <c r="V38" t="s">
        <v>33</v>
      </c>
      <c r="W38" s="14" t="s">
        <v>33</v>
      </c>
      <c r="X38" t="s">
        <v>33</v>
      </c>
      <c r="Y38" s="14" t="s">
        <v>33</v>
      </c>
      <c r="Z38" t="s">
        <v>33</v>
      </c>
      <c r="AA38" s="14" t="s">
        <v>33</v>
      </c>
      <c r="AB38" t="s">
        <v>33</v>
      </c>
      <c r="AC38" s="14" t="s">
        <v>33</v>
      </c>
      <c r="AD38">
        <v>0</v>
      </c>
      <c r="AE38" s="14">
        <f>AD38*246</f>
        <v>0</v>
      </c>
      <c r="AF38" t="s">
        <v>33</v>
      </c>
      <c r="AG38" s="14" t="s">
        <v>33</v>
      </c>
      <c r="AH38" t="s">
        <v>33</v>
      </c>
      <c r="AI38" s="14" t="s">
        <v>33</v>
      </c>
      <c r="AJ38" t="s">
        <v>33</v>
      </c>
      <c r="AK38" s="14" t="s">
        <v>33</v>
      </c>
      <c r="AL38" t="s">
        <v>33</v>
      </c>
      <c r="AM38" s="14" t="s">
        <v>33</v>
      </c>
      <c r="AN38" t="s">
        <v>33</v>
      </c>
      <c r="AO38" s="14" t="s">
        <v>33</v>
      </c>
      <c r="AP38" t="s">
        <v>33</v>
      </c>
      <c r="AQ38" s="14" t="s">
        <v>33</v>
      </c>
      <c r="AR38" t="s">
        <v>33</v>
      </c>
      <c r="AS38" s="14" t="s">
        <v>33</v>
      </c>
      <c r="AT38" t="s">
        <v>33</v>
      </c>
      <c r="AU38" s="14" t="s">
        <v>33</v>
      </c>
      <c r="AV38" t="s">
        <v>33</v>
      </c>
      <c r="AW38" s="14" t="s">
        <v>33</v>
      </c>
      <c r="AX38" t="s">
        <v>33</v>
      </c>
      <c r="AY38" s="14" t="s">
        <v>33</v>
      </c>
      <c r="AZ38" t="s">
        <v>33</v>
      </c>
      <c r="BA38" s="14" t="s">
        <v>33</v>
      </c>
      <c r="BB38" t="s">
        <v>33</v>
      </c>
      <c r="BC38" s="14" t="s">
        <v>33</v>
      </c>
      <c r="BD38">
        <f t="shared" si="6"/>
        <v>51</v>
      </c>
      <c r="BE38">
        <f t="shared" si="7"/>
        <v>9402</v>
      </c>
      <c r="BF38">
        <f t="shared" si="8"/>
        <v>184.35294117647058</v>
      </c>
    </row>
    <row r="39" spans="1:58" x14ac:dyDescent="0.2">
      <c r="A39" t="s">
        <v>11</v>
      </c>
      <c r="B39" t="s">
        <v>7</v>
      </c>
      <c r="C39" t="s">
        <v>29</v>
      </c>
      <c r="D39">
        <v>0</v>
      </c>
      <c r="E39" s="14">
        <v>0</v>
      </c>
      <c r="F39">
        <v>1</v>
      </c>
      <c r="G39" s="14">
        <f t="shared" si="0"/>
        <v>174</v>
      </c>
      <c r="H39">
        <v>6</v>
      </c>
      <c r="I39" s="14">
        <f t="shared" si="1"/>
        <v>1080</v>
      </c>
      <c r="J39">
        <v>25</v>
      </c>
      <c r="K39" s="14">
        <f t="shared" si="2"/>
        <v>4650</v>
      </c>
      <c r="L39">
        <v>21</v>
      </c>
      <c r="M39" s="14">
        <f t="shared" si="3"/>
        <v>4032</v>
      </c>
      <c r="N39">
        <v>4</v>
      </c>
      <c r="O39" s="14">
        <f t="shared" si="4"/>
        <v>792</v>
      </c>
      <c r="P39">
        <v>1</v>
      </c>
      <c r="Q39" s="14">
        <f t="shared" si="5"/>
        <v>204</v>
      </c>
      <c r="R39" t="s">
        <v>33</v>
      </c>
      <c r="S39" s="14" t="s">
        <v>33</v>
      </c>
      <c r="T39" t="s">
        <v>33</v>
      </c>
      <c r="U39" s="14" t="s">
        <v>33</v>
      </c>
      <c r="V39" t="s">
        <v>33</v>
      </c>
      <c r="W39" s="14" t="s">
        <v>33</v>
      </c>
      <c r="X39" t="s">
        <v>33</v>
      </c>
      <c r="Y39" s="14" t="s">
        <v>33</v>
      </c>
      <c r="Z39" t="s">
        <v>33</v>
      </c>
      <c r="AA39" s="14" t="s">
        <v>33</v>
      </c>
      <c r="AB39" t="s">
        <v>33</v>
      </c>
      <c r="AC39" s="14" t="s">
        <v>33</v>
      </c>
      <c r="AD39" t="s">
        <v>33</v>
      </c>
      <c r="AE39" s="14" t="s">
        <v>33</v>
      </c>
      <c r="AF39" t="s">
        <v>33</v>
      </c>
      <c r="AG39" s="14" t="s">
        <v>33</v>
      </c>
      <c r="AH39" t="s">
        <v>33</v>
      </c>
      <c r="AI39" s="14" t="s">
        <v>33</v>
      </c>
      <c r="AJ39" t="s">
        <v>33</v>
      </c>
      <c r="AK39" s="14" t="s">
        <v>33</v>
      </c>
      <c r="AL39" t="s">
        <v>33</v>
      </c>
      <c r="AM39" s="14" t="s">
        <v>33</v>
      </c>
      <c r="AN39" t="s">
        <v>33</v>
      </c>
      <c r="AO39" s="14" t="s">
        <v>33</v>
      </c>
      <c r="AP39" t="s">
        <v>33</v>
      </c>
      <c r="AQ39" s="14" t="s">
        <v>33</v>
      </c>
      <c r="AR39" t="s">
        <v>33</v>
      </c>
      <c r="AS39" s="14" t="s">
        <v>33</v>
      </c>
      <c r="AT39" t="s">
        <v>33</v>
      </c>
      <c r="AU39" s="14" t="s">
        <v>33</v>
      </c>
      <c r="AV39" t="s">
        <v>33</v>
      </c>
      <c r="AW39" s="14" t="s">
        <v>33</v>
      </c>
      <c r="AX39" t="s">
        <v>33</v>
      </c>
      <c r="AY39" s="14" t="s">
        <v>33</v>
      </c>
      <c r="AZ39" t="s">
        <v>33</v>
      </c>
      <c r="BA39" s="14" t="s">
        <v>33</v>
      </c>
      <c r="BB39" t="s">
        <v>33</v>
      </c>
      <c r="BC39" s="14" t="s">
        <v>33</v>
      </c>
      <c r="BD39">
        <f t="shared" si="6"/>
        <v>58</v>
      </c>
      <c r="BE39">
        <f t="shared" si="7"/>
        <v>10932</v>
      </c>
      <c r="BF39">
        <f t="shared" si="8"/>
        <v>188.48275862068965</v>
      </c>
    </row>
    <row r="40" spans="1:58" x14ac:dyDescent="0.2">
      <c r="A40" t="s">
        <v>11</v>
      </c>
      <c r="B40" t="s">
        <v>7</v>
      </c>
      <c r="C40" t="s">
        <v>30</v>
      </c>
      <c r="D40">
        <v>1</v>
      </c>
      <c r="E40" s="14">
        <v>168</v>
      </c>
      <c r="F40">
        <v>6</v>
      </c>
      <c r="G40" s="14">
        <f t="shared" si="0"/>
        <v>1044</v>
      </c>
      <c r="H40">
        <v>14</v>
      </c>
      <c r="I40" s="14">
        <f t="shared" si="1"/>
        <v>2520</v>
      </c>
      <c r="J40">
        <v>28</v>
      </c>
      <c r="K40" s="14">
        <f t="shared" si="2"/>
        <v>5208</v>
      </c>
      <c r="L40">
        <v>20</v>
      </c>
      <c r="M40" s="14">
        <f t="shared" si="3"/>
        <v>3840</v>
      </c>
      <c r="N40">
        <v>2</v>
      </c>
      <c r="O40" s="14">
        <f t="shared" si="4"/>
        <v>396</v>
      </c>
      <c r="P40">
        <v>0</v>
      </c>
      <c r="Q40" s="14">
        <f t="shared" si="5"/>
        <v>0</v>
      </c>
      <c r="R40" t="s">
        <v>33</v>
      </c>
      <c r="S40" s="14" t="s">
        <v>33</v>
      </c>
      <c r="T40" t="s">
        <v>33</v>
      </c>
      <c r="U40" s="14" t="s">
        <v>33</v>
      </c>
      <c r="V40" t="s">
        <v>33</v>
      </c>
      <c r="W40" s="14" t="s">
        <v>33</v>
      </c>
      <c r="X40" t="s">
        <v>33</v>
      </c>
      <c r="Y40" s="14" t="s">
        <v>33</v>
      </c>
      <c r="Z40" t="s">
        <v>33</v>
      </c>
      <c r="AA40" s="14" t="s">
        <v>33</v>
      </c>
      <c r="AB40" t="s">
        <v>33</v>
      </c>
      <c r="AC40" s="14" t="s">
        <v>33</v>
      </c>
      <c r="AD40" t="s">
        <v>33</v>
      </c>
      <c r="AE40" s="14" t="s">
        <v>33</v>
      </c>
      <c r="AF40" t="s">
        <v>33</v>
      </c>
      <c r="AG40" s="14" t="s">
        <v>33</v>
      </c>
      <c r="AH40" t="s">
        <v>33</v>
      </c>
      <c r="AI40" s="14" t="s">
        <v>33</v>
      </c>
      <c r="AJ40" t="s">
        <v>33</v>
      </c>
      <c r="AK40" s="14" t="s">
        <v>33</v>
      </c>
      <c r="AL40" t="s">
        <v>33</v>
      </c>
      <c r="AM40" s="14" t="s">
        <v>33</v>
      </c>
      <c r="AN40" t="s">
        <v>33</v>
      </c>
      <c r="AO40" s="14" t="s">
        <v>33</v>
      </c>
      <c r="AP40" t="s">
        <v>33</v>
      </c>
      <c r="AQ40" s="14" t="s">
        <v>33</v>
      </c>
      <c r="AR40" t="s">
        <v>33</v>
      </c>
      <c r="AS40" s="14" t="s">
        <v>33</v>
      </c>
      <c r="AT40" t="s">
        <v>33</v>
      </c>
      <c r="AU40" s="14" t="s">
        <v>33</v>
      </c>
      <c r="AV40" t="s">
        <v>33</v>
      </c>
      <c r="AW40" s="14" t="s">
        <v>33</v>
      </c>
      <c r="AX40" t="s">
        <v>33</v>
      </c>
      <c r="AY40" s="14" t="s">
        <v>33</v>
      </c>
      <c r="AZ40" t="s">
        <v>33</v>
      </c>
      <c r="BA40" s="14" t="s">
        <v>33</v>
      </c>
      <c r="BB40" t="s">
        <v>33</v>
      </c>
      <c r="BC40" s="14" t="s">
        <v>33</v>
      </c>
      <c r="BD40">
        <f t="shared" si="6"/>
        <v>71</v>
      </c>
      <c r="BE40">
        <f t="shared" si="7"/>
        <v>13176</v>
      </c>
      <c r="BF40">
        <f t="shared" si="8"/>
        <v>185.57746478873239</v>
      </c>
    </row>
    <row r="41" spans="1:58" x14ac:dyDescent="0.2">
      <c r="A41" t="s">
        <v>11</v>
      </c>
      <c r="B41" t="s">
        <v>8</v>
      </c>
      <c r="C41" t="s">
        <v>29</v>
      </c>
      <c r="D41">
        <v>0</v>
      </c>
      <c r="E41" s="14">
        <v>0</v>
      </c>
      <c r="F41">
        <v>2</v>
      </c>
      <c r="G41" s="14">
        <f t="shared" si="0"/>
        <v>348</v>
      </c>
      <c r="H41">
        <v>5</v>
      </c>
      <c r="I41" s="14">
        <f t="shared" si="1"/>
        <v>900</v>
      </c>
      <c r="J41">
        <v>20</v>
      </c>
      <c r="K41" s="14">
        <f t="shared" si="2"/>
        <v>3720</v>
      </c>
      <c r="L41">
        <v>4</v>
      </c>
      <c r="M41" s="14">
        <f t="shared" si="3"/>
        <v>768</v>
      </c>
      <c r="N41" t="s">
        <v>33</v>
      </c>
      <c r="O41" s="14" t="s">
        <v>33</v>
      </c>
      <c r="P41" t="s">
        <v>33</v>
      </c>
      <c r="Q41" s="14" t="s">
        <v>33</v>
      </c>
      <c r="R41" t="s">
        <v>33</v>
      </c>
      <c r="S41" s="14" t="s">
        <v>33</v>
      </c>
      <c r="T41" t="s">
        <v>33</v>
      </c>
      <c r="U41" s="14" t="s">
        <v>33</v>
      </c>
      <c r="V41" t="s">
        <v>33</v>
      </c>
      <c r="W41" s="14" t="s">
        <v>33</v>
      </c>
      <c r="X41" t="s">
        <v>33</v>
      </c>
      <c r="Y41" s="14" t="s">
        <v>33</v>
      </c>
      <c r="Z41" t="s">
        <v>33</v>
      </c>
      <c r="AA41" s="14" t="s">
        <v>33</v>
      </c>
      <c r="AB41" t="s">
        <v>33</v>
      </c>
      <c r="AC41" s="14" t="s">
        <v>33</v>
      </c>
      <c r="AD41" t="s">
        <v>33</v>
      </c>
      <c r="AE41" s="14" t="s">
        <v>33</v>
      </c>
      <c r="AF41" t="s">
        <v>33</v>
      </c>
      <c r="AG41" s="14" t="s">
        <v>33</v>
      </c>
      <c r="AH41" t="s">
        <v>33</v>
      </c>
      <c r="AI41" s="14" t="s">
        <v>33</v>
      </c>
      <c r="AJ41" t="s">
        <v>33</v>
      </c>
      <c r="AK41" s="14" t="s">
        <v>33</v>
      </c>
      <c r="AL41" t="s">
        <v>33</v>
      </c>
      <c r="AM41" s="14" t="s">
        <v>33</v>
      </c>
      <c r="AN41" t="s">
        <v>33</v>
      </c>
      <c r="AO41" s="14" t="s">
        <v>33</v>
      </c>
      <c r="AP41" t="s">
        <v>33</v>
      </c>
      <c r="AQ41" s="14" t="s">
        <v>33</v>
      </c>
      <c r="AR41" t="s">
        <v>33</v>
      </c>
      <c r="AS41" s="14" t="s">
        <v>33</v>
      </c>
      <c r="AT41" t="s">
        <v>33</v>
      </c>
      <c r="AU41" s="14" t="s">
        <v>33</v>
      </c>
      <c r="AV41" t="s">
        <v>33</v>
      </c>
      <c r="AW41" s="14" t="s">
        <v>33</v>
      </c>
      <c r="AX41" t="s">
        <v>33</v>
      </c>
      <c r="AY41" s="14" t="s">
        <v>33</v>
      </c>
      <c r="AZ41" t="s">
        <v>33</v>
      </c>
      <c r="BA41" s="14" t="s">
        <v>33</v>
      </c>
      <c r="BB41" t="s">
        <v>33</v>
      </c>
      <c r="BC41" s="14" t="s">
        <v>33</v>
      </c>
      <c r="BD41">
        <f t="shared" si="6"/>
        <v>31</v>
      </c>
      <c r="BE41">
        <f t="shared" si="7"/>
        <v>5736</v>
      </c>
      <c r="BF41">
        <f t="shared" si="8"/>
        <v>185.03225806451613</v>
      </c>
    </row>
    <row r="42" spans="1:58" x14ac:dyDescent="0.2">
      <c r="A42" t="s">
        <v>11</v>
      </c>
      <c r="B42" t="s">
        <v>8</v>
      </c>
      <c r="C42" t="s">
        <v>30</v>
      </c>
      <c r="D42">
        <v>1</v>
      </c>
      <c r="E42" s="14">
        <v>168</v>
      </c>
      <c r="F42">
        <v>8</v>
      </c>
      <c r="G42" s="14">
        <f t="shared" si="0"/>
        <v>1392</v>
      </c>
      <c r="H42">
        <v>23</v>
      </c>
      <c r="I42" s="14">
        <f t="shared" si="1"/>
        <v>4140</v>
      </c>
      <c r="J42">
        <v>7</v>
      </c>
      <c r="K42" s="14">
        <f t="shared" si="2"/>
        <v>1302</v>
      </c>
      <c r="L42">
        <v>0</v>
      </c>
      <c r="M42" s="14">
        <f t="shared" si="3"/>
        <v>0</v>
      </c>
      <c r="N42" t="s">
        <v>33</v>
      </c>
      <c r="O42" s="14" t="s">
        <v>33</v>
      </c>
      <c r="P42" t="s">
        <v>33</v>
      </c>
      <c r="Q42" s="14" t="s">
        <v>33</v>
      </c>
      <c r="R42" t="s">
        <v>33</v>
      </c>
      <c r="S42" s="14" t="s">
        <v>33</v>
      </c>
      <c r="T42" t="s">
        <v>33</v>
      </c>
      <c r="U42" s="14" t="s">
        <v>33</v>
      </c>
      <c r="V42" t="s">
        <v>33</v>
      </c>
      <c r="W42" s="14" t="s">
        <v>33</v>
      </c>
      <c r="X42" t="s">
        <v>33</v>
      </c>
      <c r="Y42" s="14" t="s">
        <v>33</v>
      </c>
      <c r="Z42" t="s">
        <v>33</v>
      </c>
      <c r="AA42" s="14" t="s">
        <v>33</v>
      </c>
      <c r="AB42" t="s">
        <v>33</v>
      </c>
      <c r="AC42" s="14" t="s">
        <v>33</v>
      </c>
      <c r="AD42" t="s">
        <v>33</v>
      </c>
      <c r="AE42" s="14" t="s">
        <v>33</v>
      </c>
      <c r="AF42" t="s">
        <v>33</v>
      </c>
      <c r="AG42" s="14" t="s">
        <v>33</v>
      </c>
      <c r="AH42" t="s">
        <v>33</v>
      </c>
      <c r="AI42" s="14" t="s">
        <v>33</v>
      </c>
      <c r="AJ42" t="s">
        <v>33</v>
      </c>
      <c r="AK42" s="14" t="s">
        <v>33</v>
      </c>
      <c r="AL42" t="s">
        <v>33</v>
      </c>
      <c r="AM42" s="14" t="s">
        <v>33</v>
      </c>
      <c r="AN42" t="s">
        <v>33</v>
      </c>
      <c r="AO42" s="14" t="s">
        <v>33</v>
      </c>
      <c r="AP42" t="s">
        <v>33</v>
      </c>
      <c r="AQ42" s="14" t="s">
        <v>33</v>
      </c>
      <c r="AR42" t="s">
        <v>33</v>
      </c>
      <c r="AS42" s="14" t="s">
        <v>33</v>
      </c>
      <c r="AT42" t="s">
        <v>33</v>
      </c>
      <c r="AU42" s="14" t="s">
        <v>33</v>
      </c>
      <c r="AV42" t="s">
        <v>33</v>
      </c>
      <c r="AW42" s="14" t="s">
        <v>33</v>
      </c>
      <c r="AX42" t="s">
        <v>33</v>
      </c>
      <c r="AY42" s="14" t="s">
        <v>33</v>
      </c>
      <c r="AZ42" t="s">
        <v>33</v>
      </c>
      <c r="BA42" s="14" t="s">
        <v>33</v>
      </c>
      <c r="BB42" t="s">
        <v>33</v>
      </c>
      <c r="BC42" s="14" t="s">
        <v>33</v>
      </c>
      <c r="BD42">
        <f t="shared" si="6"/>
        <v>39</v>
      </c>
      <c r="BE42">
        <f t="shared" si="7"/>
        <v>7002</v>
      </c>
      <c r="BF42">
        <f t="shared" si="8"/>
        <v>179.53846153846155</v>
      </c>
    </row>
    <row r="43" spans="1:58" x14ac:dyDescent="0.2">
      <c r="A43" t="s">
        <v>12</v>
      </c>
      <c r="B43" t="s">
        <v>4</v>
      </c>
      <c r="C43" t="s">
        <v>29</v>
      </c>
      <c r="D43" t="s">
        <v>33</v>
      </c>
      <c r="E43" s="14" t="s">
        <v>33</v>
      </c>
      <c r="F43">
        <v>0</v>
      </c>
      <c r="G43" s="14">
        <f t="shared" si="0"/>
        <v>0</v>
      </c>
      <c r="H43">
        <v>12</v>
      </c>
      <c r="I43" s="14">
        <f t="shared" si="1"/>
        <v>2160</v>
      </c>
      <c r="J43">
        <v>19</v>
      </c>
      <c r="K43" s="14">
        <f t="shared" si="2"/>
        <v>3534</v>
      </c>
      <c r="L43">
        <v>2</v>
      </c>
      <c r="M43" s="14">
        <f t="shared" si="3"/>
        <v>384</v>
      </c>
      <c r="N43" t="s">
        <v>33</v>
      </c>
      <c r="O43" s="14" t="s">
        <v>33</v>
      </c>
      <c r="P43" t="s">
        <v>33</v>
      </c>
      <c r="Q43" s="14" t="s">
        <v>33</v>
      </c>
      <c r="R43" t="s">
        <v>33</v>
      </c>
      <c r="S43" s="14" t="s">
        <v>33</v>
      </c>
      <c r="T43" t="s">
        <v>33</v>
      </c>
      <c r="U43" s="14" t="s">
        <v>33</v>
      </c>
      <c r="V43" t="s">
        <v>33</v>
      </c>
      <c r="W43" s="14" t="s">
        <v>33</v>
      </c>
      <c r="X43" t="s">
        <v>33</v>
      </c>
      <c r="Y43" s="14" t="s">
        <v>33</v>
      </c>
      <c r="Z43" t="s">
        <v>33</v>
      </c>
      <c r="AA43" s="14" t="s">
        <v>33</v>
      </c>
      <c r="AB43" t="s">
        <v>33</v>
      </c>
      <c r="AC43" s="14" t="s">
        <v>33</v>
      </c>
      <c r="AD43" t="s">
        <v>33</v>
      </c>
      <c r="AE43" s="14" t="s">
        <v>33</v>
      </c>
      <c r="AF43" t="s">
        <v>33</v>
      </c>
      <c r="AG43" s="14" t="s">
        <v>33</v>
      </c>
      <c r="AH43" t="s">
        <v>33</v>
      </c>
      <c r="AI43" s="14" t="s">
        <v>33</v>
      </c>
      <c r="AJ43" t="s">
        <v>33</v>
      </c>
      <c r="AK43" s="14" t="s">
        <v>33</v>
      </c>
      <c r="AL43" t="s">
        <v>33</v>
      </c>
      <c r="AM43" s="14" t="s">
        <v>33</v>
      </c>
      <c r="AN43" t="s">
        <v>33</v>
      </c>
      <c r="AO43" s="14" t="s">
        <v>33</v>
      </c>
      <c r="AP43" t="s">
        <v>33</v>
      </c>
      <c r="AQ43" s="14" t="s">
        <v>33</v>
      </c>
      <c r="AR43" t="s">
        <v>33</v>
      </c>
      <c r="AS43" s="14" t="s">
        <v>33</v>
      </c>
      <c r="AT43" t="s">
        <v>33</v>
      </c>
      <c r="AU43" s="14" t="s">
        <v>33</v>
      </c>
      <c r="AV43" t="s">
        <v>33</v>
      </c>
      <c r="AW43" s="14" t="s">
        <v>33</v>
      </c>
      <c r="AX43" t="s">
        <v>33</v>
      </c>
      <c r="AY43" s="14" t="s">
        <v>33</v>
      </c>
      <c r="AZ43" t="s">
        <v>33</v>
      </c>
      <c r="BA43" s="14" t="s">
        <v>33</v>
      </c>
      <c r="BB43" t="s">
        <v>33</v>
      </c>
      <c r="BC43" s="14" t="s">
        <v>33</v>
      </c>
      <c r="BD43">
        <f t="shared" si="6"/>
        <v>33</v>
      </c>
      <c r="BE43">
        <f t="shared" si="7"/>
        <v>6078</v>
      </c>
      <c r="BF43">
        <f t="shared" si="8"/>
        <v>184.18181818181819</v>
      </c>
    </row>
    <row r="44" spans="1:58" x14ac:dyDescent="0.2">
      <c r="A44" t="s">
        <v>12</v>
      </c>
      <c r="B44" t="s">
        <v>4</v>
      </c>
      <c r="C44" t="s">
        <v>30</v>
      </c>
      <c r="D44" t="s">
        <v>33</v>
      </c>
      <c r="E44" s="14" t="s">
        <v>33</v>
      </c>
      <c r="F44">
        <v>8</v>
      </c>
      <c r="G44" s="14">
        <f t="shared" si="0"/>
        <v>1392</v>
      </c>
      <c r="H44">
        <v>13</v>
      </c>
      <c r="I44" s="14">
        <f t="shared" si="1"/>
        <v>2340</v>
      </c>
      <c r="J44">
        <v>2</v>
      </c>
      <c r="K44" s="14">
        <f t="shared" si="2"/>
        <v>372</v>
      </c>
      <c r="L44">
        <v>0</v>
      </c>
      <c r="M44" s="14">
        <f t="shared" si="3"/>
        <v>0</v>
      </c>
      <c r="N44" t="s">
        <v>33</v>
      </c>
      <c r="O44" s="14" t="s">
        <v>33</v>
      </c>
      <c r="P44" t="s">
        <v>33</v>
      </c>
      <c r="Q44" s="14" t="s">
        <v>33</v>
      </c>
      <c r="R44" t="s">
        <v>33</v>
      </c>
      <c r="S44" s="14" t="s">
        <v>33</v>
      </c>
      <c r="T44" t="s">
        <v>33</v>
      </c>
      <c r="U44" s="14" t="s">
        <v>33</v>
      </c>
      <c r="V44" t="s">
        <v>33</v>
      </c>
      <c r="W44" s="14" t="s">
        <v>33</v>
      </c>
      <c r="X44" t="s">
        <v>33</v>
      </c>
      <c r="Y44" s="14" t="s">
        <v>33</v>
      </c>
      <c r="Z44" t="s">
        <v>33</v>
      </c>
      <c r="AA44" s="14" t="s">
        <v>33</v>
      </c>
      <c r="AB44" t="s">
        <v>33</v>
      </c>
      <c r="AC44" s="14" t="s">
        <v>33</v>
      </c>
      <c r="AD44" t="s">
        <v>33</v>
      </c>
      <c r="AE44" s="14" t="s">
        <v>33</v>
      </c>
      <c r="AF44" t="s">
        <v>33</v>
      </c>
      <c r="AG44" s="14" t="s">
        <v>33</v>
      </c>
      <c r="AH44" t="s">
        <v>33</v>
      </c>
      <c r="AI44" s="14" t="s">
        <v>33</v>
      </c>
      <c r="AJ44" t="s">
        <v>33</v>
      </c>
      <c r="AK44" s="14" t="s">
        <v>33</v>
      </c>
      <c r="AL44" t="s">
        <v>33</v>
      </c>
      <c r="AM44" s="14" t="s">
        <v>33</v>
      </c>
      <c r="AN44" t="s">
        <v>33</v>
      </c>
      <c r="AO44" s="14" t="s">
        <v>33</v>
      </c>
      <c r="AP44" t="s">
        <v>33</v>
      </c>
      <c r="AQ44" s="14" t="s">
        <v>33</v>
      </c>
      <c r="AR44" t="s">
        <v>33</v>
      </c>
      <c r="AS44" s="14" t="s">
        <v>33</v>
      </c>
      <c r="AT44" t="s">
        <v>33</v>
      </c>
      <c r="AU44" s="14" t="s">
        <v>33</v>
      </c>
      <c r="AV44" t="s">
        <v>33</v>
      </c>
      <c r="AW44" s="14" t="s">
        <v>33</v>
      </c>
      <c r="AX44" t="s">
        <v>33</v>
      </c>
      <c r="AY44" s="14" t="s">
        <v>33</v>
      </c>
      <c r="AZ44" t="s">
        <v>33</v>
      </c>
      <c r="BA44" s="14" t="s">
        <v>33</v>
      </c>
      <c r="BB44" t="s">
        <v>33</v>
      </c>
      <c r="BC44" s="14" t="s">
        <v>33</v>
      </c>
      <c r="BD44">
        <f t="shared" si="6"/>
        <v>23</v>
      </c>
      <c r="BE44">
        <f t="shared" si="7"/>
        <v>4104</v>
      </c>
      <c r="BF44">
        <f t="shared" si="8"/>
        <v>178.43478260869566</v>
      </c>
    </row>
    <row r="45" spans="1:58" x14ac:dyDescent="0.2">
      <c r="A45" t="s">
        <v>12</v>
      </c>
      <c r="B45" t="s">
        <v>5</v>
      </c>
      <c r="C45" t="s">
        <v>29</v>
      </c>
      <c r="D45" t="s">
        <v>33</v>
      </c>
      <c r="E45" s="14" t="s">
        <v>33</v>
      </c>
      <c r="F45">
        <v>1</v>
      </c>
      <c r="G45" s="14">
        <f t="shared" si="0"/>
        <v>174</v>
      </c>
      <c r="H45">
        <v>14</v>
      </c>
      <c r="I45" s="14">
        <f t="shared" si="1"/>
        <v>2520</v>
      </c>
      <c r="J45">
        <v>24</v>
      </c>
      <c r="K45" s="14">
        <f t="shared" si="2"/>
        <v>4464</v>
      </c>
      <c r="L45">
        <v>4</v>
      </c>
      <c r="M45" s="14">
        <f t="shared" si="3"/>
        <v>768</v>
      </c>
      <c r="N45" t="s">
        <v>33</v>
      </c>
      <c r="O45" s="14" t="s">
        <v>33</v>
      </c>
      <c r="P45" t="s">
        <v>33</v>
      </c>
      <c r="Q45" s="14" t="s">
        <v>33</v>
      </c>
      <c r="R45" t="s">
        <v>33</v>
      </c>
      <c r="S45" s="14" t="s">
        <v>33</v>
      </c>
      <c r="T45" t="s">
        <v>33</v>
      </c>
      <c r="U45" s="14" t="s">
        <v>33</v>
      </c>
      <c r="V45" t="s">
        <v>33</v>
      </c>
      <c r="W45" s="14" t="s">
        <v>33</v>
      </c>
      <c r="X45" t="s">
        <v>33</v>
      </c>
      <c r="Y45" s="14" t="s">
        <v>33</v>
      </c>
      <c r="Z45" t="s">
        <v>33</v>
      </c>
      <c r="AA45" s="14" t="s">
        <v>33</v>
      </c>
      <c r="AB45" t="s">
        <v>33</v>
      </c>
      <c r="AC45" s="14" t="s">
        <v>33</v>
      </c>
      <c r="AD45" t="s">
        <v>33</v>
      </c>
      <c r="AE45" s="14" t="s">
        <v>33</v>
      </c>
      <c r="AF45" t="s">
        <v>33</v>
      </c>
      <c r="AG45" s="14" t="s">
        <v>33</v>
      </c>
      <c r="AH45" t="s">
        <v>33</v>
      </c>
      <c r="AI45" s="14" t="s">
        <v>33</v>
      </c>
      <c r="AJ45" t="s">
        <v>33</v>
      </c>
      <c r="AK45" s="14" t="s">
        <v>33</v>
      </c>
      <c r="AL45" t="s">
        <v>33</v>
      </c>
      <c r="AM45" s="14" t="s">
        <v>33</v>
      </c>
      <c r="AN45" t="s">
        <v>33</v>
      </c>
      <c r="AO45" s="14" t="s">
        <v>33</v>
      </c>
      <c r="AP45" t="s">
        <v>33</v>
      </c>
      <c r="AQ45" s="14" t="s">
        <v>33</v>
      </c>
      <c r="AR45" t="s">
        <v>33</v>
      </c>
      <c r="AS45" s="14" t="s">
        <v>33</v>
      </c>
      <c r="AT45" t="s">
        <v>33</v>
      </c>
      <c r="AU45" s="14" t="s">
        <v>33</v>
      </c>
      <c r="AV45" t="s">
        <v>33</v>
      </c>
      <c r="AW45" s="14" t="s">
        <v>33</v>
      </c>
      <c r="AX45" t="s">
        <v>33</v>
      </c>
      <c r="AY45" s="14" t="s">
        <v>33</v>
      </c>
      <c r="AZ45" t="s">
        <v>33</v>
      </c>
      <c r="BA45" s="14" t="s">
        <v>33</v>
      </c>
      <c r="BB45" t="s">
        <v>33</v>
      </c>
      <c r="BC45" s="14" t="s">
        <v>33</v>
      </c>
      <c r="BD45">
        <f t="shared" si="6"/>
        <v>43</v>
      </c>
      <c r="BE45">
        <f t="shared" si="7"/>
        <v>7926</v>
      </c>
      <c r="BF45">
        <f t="shared" si="8"/>
        <v>184.32558139534885</v>
      </c>
    </row>
    <row r="46" spans="1:58" x14ac:dyDescent="0.2">
      <c r="A46" t="s">
        <v>12</v>
      </c>
      <c r="B46" t="s">
        <v>5</v>
      </c>
      <c r="C46" t="s">
        <v>30</v>
      </c>
      <c r="D46" t="s">
        <v>33</v>
      </c>
      <c r="E46" s="14" t="s">
        <v>33</v>
      </c>
      <c r="F46">
        <v>8</v>
      </c>
      <c r="G46" s="14">
        <f t="shared" si="0"/>
        <v>1392</v>
      </c>
      <c r="H46">
        <v>15</v>
      </c>
      <c r="I46" s="14">
        <f t="shared" si="1"/>
        <v>2700</v>
      </c>
      <c r="J46">
        <v>14</v>
      </c>
      <c r="K46" s="14">
        <f t="shared" si="2"/>
        <v>2604</v>
      </c>
      <c r="L46">
        <v>0</v>
      </c>
      <c r="M46" s="14">
        <f t="shared" si="3"/>
        <v>0</v>
      </c>
      <c r="N46" t="s">
        <v>33</v>
      </c>
      <c r="O46" s="14" t="s">
        <v>33</v>
      </c>
      <c r="P46" t="s">
        <v>33</v>
      </c>
      <c r="Q46" s="14" t="s">
        <v>33</v>
      </c>
      <c r="R46" t="s">
        <v>33</v>
      </c>
      <c r="S46" s="14" t="s">
        <v>33</v>
      </c>
      <c r="T46" t="s">
        <v>33</v>
      </c>
      <c r="U46" s="14" t="s">
        <v>33</v>
      </c>
      <c r="V46" t="s">
        <v>33</v>
      </c>
      <c r="W46" s="14" t="s">
        <v>33</v>
      </c>
      <c r="X46" t="s">
        <v>33</v>
      </c>
      <c r="Y46" s="14" t="s">
        <v>33</v>
      </c>
      <c r="Z46" t="s">
        <v>33</v>
      </c>
      <c r="AA46" s="14" t="s">
        <v>33</v>
      </c>
      <c r="AB46" t="s">
        <v>33</v>
      </c>
      <c r="AC46" s="14" t="s">
        <v>33</v>
      </c>
      <c r="AD46" t="s">
        <v>33</v>
      </c>
      <c r="AE46" s="14" t="s">
        <v>33</v>
      </c>
      <c r="AF46" t="s">
        <v>33</v>
      </c>
      <c r="AG46" s="14" t="s">
        <v>33</v>
      </c>
      <c r="AH46" t="s">
        <v>33</v>
      </c>
      <c r="AI46" s="14" t="s">
        <v>33</v>
      </c>
      <c r="AJ46" t="s">
        <v>33</v>
      </c>
      <c r="AK46" s="14" t="s">
        <v>33</v>
      </c>
      <c r="AL46" t="s">
        <v>33</v>
      </c>
      <c r="AM46" s="14" t="s">
        <v>33</v>
      </c>
      <c r="AN46" t="s">
        <v>33</v>
      </c>
      <c r="AO46" s="14" t="s">
        <v>33</v>
      </c>
      <c r="AP46" t="s">
        <v>33</v>
      </c>
      <c r="AQ46" s="14" t="s">
        <v>33</v>
      </c>
      <c r="AR46" t="s">
        <v>33</v>
      </c>
      <c r="AS46" s="14" t="s">
        <v>33</v>
      </c>
      <c r="AT46" t="s">
        <v>33</v>
      </c>
      <c r="AU46" s="14" t="s">
        <v>33</v>
      </c>
      <c r="AV46" t="s">
        <v>33</v>
      </c>
      <c r="AW46" s="14" t="s">
        <v>33</v>
      </c>
      <c r="AX46" t="s">
        <v>33</v>
      </c>
      <c r="AY46" s="14" t="s">
        <v>33</v>
      </c>
      <c r="AZ46" t="s">
        <v>33</v>
      </c>
      <c r="BA46" s="14" t="s">
        <v>33</v>
      </c>
      <c r="BB46" t="s">
        <v>33</v>
      </c>
      <c r="BC46" s="14" t="s">
        <v>33</v>
      </c>
      <c r="BD46">
        <f t="shared" si="6"/>
        <v>37</v>
      </c>
      <c r="BE46">
        <f t="shared" si="7"/>
        <v>6696</v>
      </c>
      <c r="BF46">
        <f t="shared" si="8"/>
        <v>180.97297297297297</v>
      </c>
    </row>
    <row r="47" spans="1:58" x14ac:dyDescent="0.2">
      <c r="A47" t="s">
        <v>12</v>
      </c>
      <c r="B47" t="s">
        <v>6</v>
      </c>
      <c r="C47" t="s">
        <v>29</v>
      </c>
      <c r="D47" t="s">
        <v>33</v>
      </c>
      <c r="E47" s="14" t="s">
        <v>33</v>
      </c>
      <c r="F47" t="s">
        <v>33</v>
      </c>
      <c r="G47" s="14" t="s">
        <v>33</v>
      </c>
      <c r="H47">
        <v>16</v>
      </c>
      <c r="I47" s="14">
        <f t="shared" si="1"/>
        <v>2880</v>
      </c>
      <c r="J47">
        <v>26</v>
      </c>
      <c r="K47" s="14">
        <f t="shared" si="2"/>
        <v>4836</v>
      </c>
      <c r="L47">
        <v>1</v>
      </c>
      <c r="M47" s="14">
        <f t="shared" si="3"/>
        <v>192</v>
      </c>
      <c r="N47" t="s">
        <v>33</v>
      </c>
      <c r="O47" s="14" t="s">
        <v>33</v>
      </c>
      <c r="P47" t="s">
        <v>33</v>
      </c>
      <c r="Q47" s="14" t="s">
        <v>33</v>
      </c>
      <c r="R47">
        <v>0</v>
      </c>
      <c r="S47" s="14">
        <f t="shared" si="9"/>
        <v>0</v>
      </c>
      <c r="T47" t="s">
        <v>33</v>
      </c>
      <c r="U47" s="14" t="s">
        <v>33</v>
      </c>
      <c r="V47" t="s">
        <v>33</v>
      </c>
      <c r="W47" s="14" t="s">
        <v>33</v>
      </c>
      <c r="X47" t="s">
        <v>33</v>
      </c>
      <c r="Y47" s="14" t="s">
        <v>33</v>
      </c>
      <c r="Z47" t="s">
        <v>33</v>
      </c>
      <c r="AA47" s="14" t="s">
        <v>33</v>
      </c>
      <c r="AB47" t="s">
        <v>33</v>
      </c>
      <c r="AC47" s="14" t="s">
        <v>33</v>
      </c>
      <c r="AD47" t="s">
        <v>33</v>
      </c>
      <c r="AE47" s="14" t="s">
        <v>33</v>
      </c>
      <c r="AF47" t="s">
        <v>33</v>
      </c>
      <c r="AG47" s="14" t="s">
        <v>33</v>
      </c>
      <c r="AH47" t="s">
        <v>33</v>
      </c>
      <c r="AI47" s="14" t="s">
        <v>33</v>
      </c>
      <c r="AJ47" t="s">
        <v>33</v>
      </c>
      <c r="AK47" s="14" t="s">
        <v>33</v>
      </c>
      <c r="AL47" t="s">
        <v>33</v>
      </c>
      <c r="AM47" s="14" t="s">
        <v>33</v>
      </c>
      <c r="AN47" t="s">
        <v>33</v>
      </c>
      <c r="AO47" s="14" t="s">
        <v>33</v>
      </c>
      <c r="AP47" t="s">
        <v>33</v>
      </c>
      <c r="AQ47" s="14" t="s">
        <v>33</v>
      </c>
      <c r="AR47" t="s">
        <v>33</v>
      </c>
      <c r="AS47" s="14" t="s">
        <v>33</v>
      </c>
      <c r="AT47" t="s">
        <v>33</v>
      </c>
      <c r="AU47" s="14" t="s">
        <v>33</v>
      </c>
      <c r="AV47" t="s">
        <v>33</v>
      </c>
      <c r="AW47" s="14" t="s">
        <v>33</v>
      </c>
      <c r="AX47" t="s">
        <v>33</v>
      </c>
      <c r="AY47" s="14" t="s">
        <v>33</v>
      </c>
      <c r="AZ47" t="s">
        <v>33</v>
      </c>
      <c r="BA47" s="14" t="s">
        <v>33</v>
      </c>
      <c r="BB47" t="s">
        <v>33</v>
      </c>
      <c r="BC47" s="14" t="s">
        <v>33</v>
      </c>
      <c r="BD47">
        <f t="shared" si="6"/>
        <v>43</v>
      </c>
      <c r="BE47">
        <f t="shared" si="7"/>
        <v>7908</v>
      </c>
      <c r="BF47">
        <f t="shared" si="8"/>
        <v>183.90697674418604</v>
      </c>
    </row>
    <row r="48" spans="1:58" x14ac:dyDescent="0.2">
      <c r="A48" t="s">
        <v>12</v>
      </c>
      <c r="B48" t="s">
        <v>6</v>
      </c>
      <c r="C48" t="s">
        <v>30</v>
      </c>
      <c r="D48" t="s">
        <v>33</v>
      </c>
      <c r="E48" s="14" t="s">
        <v>33</v>
      </c>
      <c r="F48" t="s">
        <v>33</v>
      </c>
      <c r="G48" s="14" t="s">
        <v>33</v>
      </c>
      <c r="H48">
        <v>17</v>
      </c>
      <c r="I48" s="14">
        <f t="shared" si="1"/>
        <v>3060</v>
      </c>
      <c r="J48">
        <v>10</v>
      </c>
      <c r="K48" s="14">
        <f t="shared" si="2"/>
        <v>1860</v>
      </c>
      <c r="L48">
        <v>0</v>
      </c>
      <c r="M48" s="14">
        <f t="shared" si="3"/>
        <v>0</v>
      </c>
      <c r="N48" t="s">
        <v>33</v>
      </c>
      <c r="O48" s="14" t="s">
        <v>33</v>
      </c>
      <c r="P48" t="s">
        <v>33</v>
      </c>
      <c r="Q48" s="14" t="s">
        <v>33</v>
      </c>
      <c r="R48">
        <v>1</v>
      </c>
      <c r="S48" s="14">
        <f t="shared" si="9"/>
        <v>210</v>
      </c>
      <c r="T48" t="s">
        <v>33</v>
      </c>
      <c r="U48" s="14" t="s">
        <v>33</v>
      </c>
      <c r="V48" t="s">
        <v>33</v>
      </c>
      <c r="W48" s="14" t="s">
        <v>33</v>
      </c>
      <c r="X48" t="s">
        <v>33</v>
      </c>
      <c r="Y48" s="14" t="s">
        <v>33</v>
      </c>
      <c r="Z48" t="s">
        <v>33</v>
      </c>
      <c r="AA48" s="14" t="s">
        <v>33</v>
      </c>
      <c r="AB48" t="s">
        <v>33</v>
      </c>
      <c r="AC48" s="14" t="s">
        <v>33</v>
      </c>
      <c r="AD48" t="s">
        <v>33</v>
      </c>
      <c r="AE48" s="14" t="s">
        <v>33</v>
      </c>
      <c r="AF48" t="s">
        <v>33</v>
      </c>
      <c r="AG48" s="14" t="s">
        <v>33</v>
      </c>
      <c r="AH48" t="s">
        <v>33</v>
      </c>
      <c r="AI48" s="14" t="s">
        <v>33</v>
      </c>
      <c r="AJ48" t="s">
        <v>33</v>
      </c>
      <c r="AK48" s="14" t="s">
        <v>33</v>
      </c>
      <c r="AL48" t="s">
        <v>33</v>
      </c>
      <c r="AM48" s="14" t="s">
        <v>33</v>
      </c>
      <c r="AN48" t="s">
        <v>33</v>
      </c>
      <c r="AO48" s="14" t="s">
        <v>33</v>
      </c>
      <c r="AP48" t="s">
        <v>33</v>
      </c>
      <c r="AQ48" s="14" t="s">
        <v>33</v>
      </c>
      <c r="AR48" t="s">
        <v>33</v>
      </c>
      <c r="AS48" s="14" t="s">
        <v>33</v>
      </c>
      <c r="AT48" t="s">
        <v>33</v>
      </c>
      <c r="AU48" s="14" t="s">
        <v>33</v>
      </c>
      <c r="AV48" t="s">
        <v>33</v>
      </c>
      <c r="AW48" s="14" t="s">
        <v>33</v>
      </c>
      <c r="AX48" t="s">
        <v>33</v>
      </c>
      <c r="AY48" s="14" t="s">
        <v>33</v>
      </c>
      <c r="AZ48" t="s">
        <v>33</v>
      </c>
      <c r="BA48" s="14" t="s">
        <v>33</v>
      </c>
      <c r="BB48" t="s">
        <v>33</v>
      </c>
      <c r="BC48" s="14" t="s">
        <v>33</v>
      </c>
      <c r="BD48">
        <f t="shared" si="6"/>
        <v>28</v>
      </c>
      <c r="BE48">
        <f t="shared" si="7"/>
        <v>5130</v>
      </c>
      <c r="BF48">
        <f t="shared" si="8"/>
        <v>183.21428571428572</v>
      </c>
    </row>
    <row r="49" spans="1:59" x14ac:dyDescent="0.2">
      <c r="A49" t="s">
        <v>12</v>
      </c>
      <c r="B49" t="s">
        <v>7</v>
      </c>
      <c r="C49" t="s">
        <v>29</v>
      </c>
      <c r="D49" t="s">
        <v>33</v>
      </c>
      <c r="E49" s="14" t="s">
        <v>33</v>
      </c>
      <c r="F49">
        <v>1</v>
      </c>
      <c r="G49" s="14">
        <f t="shared" si="0"/>
        <v>174</v>
      </c>
      <c r="H49">
        <v>18</v>
      </c>
      <c r="I49" s="14">
        <f t="shared" si="1"/>
        <v>3240</v>
      </c>
      <c r="J49">
        <v>23</v>
      </c>
      <c r="K49" s="14">
        <f t="shared" si="2"/>
        <v>4278</v>
      </c>
      <c r="L49">
        <v>4</v>
      </c>
      <c r="M49" s="14">
        <f t="shared" si="3"/>
        <v>768</v>
      </c>
      <c r="N49" t="s">
        <v>33</v>
      </c>
      <c r="O49" s="14" t="s">
        <v>33</v>
      </c>
      <c r="P49" t="s">
        <v>33</v>
      </c>
      <c r="Q49" s="14" t="s">
        <v>33</v>
      </c>
      <c r="R49" t="s">
        <v>33</v>
      </c>
      <c r="S49" s="14" t="s">
        <v>33</v>
      </c>
      <c r="T49" t="s">
        <v>33</v>
      </c>
      <c r="U49" s="14" t="s">
        <v>33</v>
      </c>
      <c r="V49" t="s">
        <v>33</v>
      </c>
      <c r="W49" s="14" t="s">
        <v>33</v>
      </c>
      <c r="X49">
        <v>1</v>
      </c>
      <c r="Y49" s="14">
        <f>X49*228</f>
        <v>228</v>
      </c>
      <c r="Z49" t="s">
        <v>33</v>
      </c>
      <c r="AA49" s="14" t="s">
        <v>33</v>
      </c>
      <c r="AB49" t="s">
        <v>33</v>
      </c>
      <c r="AC49" s="14" t="s">
        <v>33</v>
      </c>
      <c r="AD49" t="s">
        <v>33</v>
      </c>
      <c r="AE49" s="14" t="s">
        <v>33</v>
      </c>
      <c r="AF49" t="s">
        <v>33</v>
      </c>
      <c r="AG49" s="14" t="s">
        <v>33</v>
      </c>
      <c r="AH49" t="s">
        <v>33</v>
      </c>
      <c r="AI49" s="14" t="s">
        <v>33</v>
      </c>
      <c r="AJ49" t="s">
        <v>33</v>
      </c>
      <c r="AK49" s="14" t="s">
        <v>33</v>
      </c>
      <c r="AL49" t="s">
        <v>33</v>
      </c>
      <c r="AM49" s="14" t="s">
        <v>33</v>
      </c>
      <c r="AN49" t="s">
        <v>33</v>
      </c>
      <c r="AO49" s="14" t="s">
        <v>33</v>
      </c>
      <c r="AP49" t="s">
        <v>33</v>
      </c>
      <c r="AQ49" s="14" t="s">
        <v>33</v>
      </c>
      <c r="AR49" t="s">
        <v>33</v>
      </c>
      <c r="AS49" s="14" t="s">
        <v>33</v>
      </c>
      <c r="AT49" t="s">
        <v>33</v>
      </c>
      <c r="AU49" s="14" t="s">
        <v>33</v>
      </c>
      <c r="AV49" t="s">
        <v>33</v>
      </c>
      <c r="AW49" s="14" t="s">
        <v>33</v>
      </c>
      <c r="AX49" t="s">
        <v>33</v>
      </c>
      <c r="AY49" s="14" t="s">
        <v>33</v>
      </c>
      <c r="AZ49" t="s">
        <v>33</v>
      </c>
      <c r="BA49" s="14" t="s">
        <v>33</v>
      </c>
      <c r="BB49" t="s">
        <v>33</v>
      </c>
      <c r="BC49" s="14" t="s">
        <v>33</v>
      </c>
      <c r="BD49">
        <f t="shared" si="6"/>
        <v>47</v>
      </c>
      <c r="BE49">
        <f t="shared" si="7"/>
        <v>8688</v>
      </c>
      <c r="BF49">
        <f t="shared" si="8"/>
        <v>184.85106382978722</v>
      </c>
    </row>
    <row r="50" spans="1:59" x14ac:dyDescent="0.2">
      <c r="A50" t="s">
        <v>12</v>
      </c>
      <c r="B50" t="s">
        <v>7</v>
      </c>
      <c r="C50" t="s">
        <v>30</v>
      </c>
      <c r="D50" t="s">
        <v>33</v>
      </c>
      <c r="E50" s="14" t="s">
        <v>33</v>
      </c>
      <c r="F50">
        <v>10</v>
      </c>
      <c r="G50" s="14">
        <f t="shared" si="0"/>
        <v>1740</v>
      </c>
      <c r="H50">
        <v>19</v>
      </c>
      <c r="I50" s="14">
        <f t="shared" si="1"/>
        <v>3420</v>
      </c>
      <c r="J50">
        <v>6</v>
      </c>
      <c r="K50" s="14">
        <f t="shared" si="2"/>
        <v>1116</v>
      </c>
      <c r="L50">
        <v>0</v>
      </c>
      <c r="M50" s="14">
        <f t="shared" si="3"/>
        <v>0</v>
      </c>
      <c r="N50" t="s">
        <v>33</v>
      </c>
      <c r="O50" s="14" t="s">
        <v>33</v>
      </c>
      <c r="P50" t="s">
        <v>33</v>
      </c>
      <c r="Q50" s="14" t="s">
        <v>33</v>
      </c>
      <c r="R50" t="s">
        <v>33</v>
      </c>
      <c r="S50" s="14" t="s">
        <v>33</v>
      </c>
      <c r="T50" t="s">
        <v>33</v>
      </c>
      <c r="U50" s="14" t="s">
        <v>33</v>
      </c>
      <c r="V50" t="s">
        <v>33</v>
      </c>
      <c r="W50" s="14" t="s">
        <v>33</v>
      </c>
      <c r="X50">
        <v>0</v>
      </c>
      <c r="Y50" s="14">
        <f>X50*228</f>
        <v>0</v>
      </c>
      <c r="Z50" t="s">
        <v>33</v>
      </c>
      <c r="AA50" s="14" t="s">
        <v>33</v>
      </c>
      <c r="AB50" t="s">
        <v>33</v>
      </c>
      <c r="AC50" s="14" t="s">
        <v>33</v>
      </c>
      <c r="AD50" t="s">
        <v>33</v>
      </c>
      <c r="AE50" s="14" t="s">
        <v>33</v>
      </c>
      <c r="AF50" t="s">
        <v>33</v>
      </c>
      <c r="AG50" s="14" t="s">
        <v>33</v>
      </c>
      <c r="AH50" t="s">
        <v>33</v>
      </c>
      <c r="AI50" s="14" t="s">
        <v>33</v>
      </c>
      <c r="AJ50" t="s">
        <v>33</v>
      </c>
      <c r="AK50" s="14" t="s">
        <v>33</v>
      </c>
      <c r="AL50" t="s">
        <v>33</v>
      </c>
      <c r="AM50" s="14" t="s">
        <v>33</v>
      </c>
      <c r="AN50" t="s">
        <v>33</v>
      </c>
      <c r="AO50" s="14" t="s">
        <v>33</v>
      </c>
      <c r="AP50" t="s">
        <v>33</v>
      </c>
      <c r="AQ50" s="14" t="s">
        <v>33</v>
      </c>
      <c r="AR50" t="s">
        <v>33</v>
      </c>
      <c r="AS50" s="14" t="s">
        <v>33</v>
      </c>
      <c r="AT50" t="s">
        <v>33</v>
      </c>
      <c r="AU50" s="14" t="s">
        <v>33</v>
      </c>
      <c r="AV50" t="s">
        <v>33</v>
      </c>
      <c r="AW50" s="14" t="s">
        <v>33</v>
      </c>
      <c r="AX50" t="s">
        <v>33</v>
      </c>
      <c r="AY50" s="14" t="s">
        <v>33</v>
      </c>
      <c r="AZ50" t="s">
        <v>33</v>
      </c>
      <c r="BA50" s="14" t="s">
        <v>33</v>
      </c>
      <c r="BB50" t="s">
        <v>33</v>
      </c>
      <c r="BC50" s="14" t="s">
        <v>33</v>
      </c>
      <c r="BD50">
        <f t="shared" si="6"/>
        <v>35</v>
      </c>
      <c r="BE50">
        <f t="shared" si="7"/>
        <v>6276</v>
      </c>
      <c r="BF50">
        <f t="shared" si="8"/>
        <v>179.31428571428572</v>
      </c>
    </row>
    <row r="51" spans="1:59" x14ac:dyDescent="0.2">
      <c r="A51" t="s">
        <v>12</v>
      </c>
      <c r="B51" t="s">
        <v>8</v>
      </c>
      <c r="C51" t="s">
        <v>29</v>
      </c>
      <c r="D51" t="s">
        <v>33</v>
      </c>
      <c r="E51" s="14" t="s">
        <v>33</v>
      </c>
      <c r="F51">
        <v>0</v>
      </c>
      <c r="G51" s="14">
        <f t="shared" si="0"/>
        <v>0</v>
      </c>
      <c r="H51">
        <v>20</v>
      </c>
      <c r="I51" s="14">
        <f t="shared" si="1"/>
        <v>3600</v>
      </c>
      <c r="J51">
        <v>18</v>
      </c>
      <c r="K51" s="14">
        <f t="shared" si="2"/>
        <v>3348</v>
      </c>
      <c r="L51">
        <v>9</v>
      </c>
      <c r="M51" s="14">
        <f t="shared" si="3"/>
        <v>1728</v>
      </c>
      <c r="N51" t="s">
        <v>33</v>
      </c>
      <c r="O51" s="14" t="s">
        <v>33</v>
      </c>
      <c r="P51" t="s">
        <v>33</v>
      </c>
      <c r="Q51" s="14" t="s">
        <v>33</v>
      </c>
      <c r="R51" t="s">
        <v>33</v>
      </c>
      <c r="S51" s="14" t="s">
        <v>33</v>
      </c>
      <c r="T51" t="s">
        <v>33</v>
      </c>
      <c r="U51" s="14" t="s">
        <v>33</v>
      </c>
      <c r="V51" t="s">
        <v>33</v>
      </c>
      <c r="W51" s="14" t="s">
        <v>33</v>
      </c>
      <c r="X51" t="s">
        <v>33</v>
      </c>
      <c r="Y51" s="14" t="s">
        <v>33</v>
      </c>
      <c r="Z51" t="s">
        <v>33</v>
      </c>
      <c r="AA51" s="14" t="s">
        <v>33</v>
      </c>
      <c r="AB51" t="s">
        <v>33</v>
      </c>
      <c r="AC51" s="14" t="s">
        <v>33</v>
      </c>
      <c r="AD51" t="s">
        <v>33</v>
      </c>
      <c r="AE51" s="14" t="s">
        <v>33</v>
      </c>
      <c r="AF51" t="s">
        <v>33</v>
      </c>
      <c r="AG51" s="14" t="s">
        <v>33</v>
      </c>
      <c r="AH51" t="s">
        <v>33</v>
      </c>
      <c r="AI51" s="14" t="s">
        <v>33</v>
      </c>
      <c r="AJ51" t="s">
        <v>33</v>
      </c>
      <c r="AK51" s="14" t="s">
        <v>33</v>
      </c>
      <c r="AL51" t="s">
        <v>33</v>
      </c>
      <c r="AM51" s="14" t="s">
        <v>33</v>
      </c>
      <c r="AN51" t="s">
        <v>33</v>
      </c>
      <c r="AO51" s="14" t="s">
        <v>33</v>
      </c>
      <c r="AP51" t="s">
        <v>33</v>
      </c>
      <c r="AQ51" s="14" t="s">
        <v>33</v>
      </c>
      <c r="AR51" t="s">
        <v>33</v>
      </c>
      <c r="AS51" s="14" t="s">
        <v>33</v>
      </c>
      <c r="AT51" t="s">
        <v>33</v>
      </c>
      <c r="AU51" s="14" t="s">
        <v>33</v>
      </c>
      <c r="AV51" t="s">
        <v>33</v>
      </c>
      <c r="AW51" s="14" t="s">
        <v>33</v>
      </c>
      <c r="AX51" t="s">
        <v>33</v>
      </c>
      <c r="AY51" s="14" t="s">
        <v>33</v>
      </c>
      <c r="AZ51" t="s">
        <v>33</v>
      </c>
      <c r="BA51" s="14" t="s">
        <v>33</v>
      </c>
      <c r="BB51" t="s">
        <v>33</v>
      </c>
      <c r="BC51" s="14" t="s">
        <v>33</v>
      </c>
      <c r="BD51">
        <f t="shared" si="6"/>
        <v>47</v>
      </c>
      <c r="BE51">
        <f t="shared" si="7"/>
        <v>8676</v>
      </c>
      <c r="BF51">
        <f t="shared" si="8"/>
        <v>184.59574468085106</v>
      </c>
    </row>
    <row r="52" spans="1:59" x14ac:dyDescent="0.2">
      <c r="A52" t="s">
        <v>12</v>
      </c>
      <c r="B52" t="s">
        <v>8</v>
      </c>
      <c r="C52" t="s">
        <v>30</v>
      </c>
      <c r="D52" t="s">
        <v>33</v>
      </c>
      <c r="E52" s="14" t="s">
        <v>33</v>
      </c>
      <c r="F52">
        <v>4</v>
      </c>
      <c r="G52" s="14">
        <f t="shared" si="0"/>
        <v>696</v>
      </c>
      <c r="H52">
        <v>21</v>
      </c>
      <c r="I52" s="14">
        <f t="shared" si="1"/>
        <v>3780</v>
      </c>
      <c r="J52">
        <v>8</v>
      </c>
      <c r="K52" s="14">
        <f t="shared" si="2"/>
        <v>1488</v>
      </c>
      <c r="L52">
        <v>0</v>
      </c>
      <c r="M52" s="14">
        <f t="shared" si="3"/>
        <v>0</v>
      </c>
      <c r="N52" t="s">
        <v>33</v>
      </c>
      <c r="O52" s="14" t="s">
        <v>33</v>
      </c>
      <c r="P52" t="s">
        <v>33</v>
      </c>
      <c r="Q52" s="14" t="s">
        <v>33</v>
      </c>
      <c r="R52" t="s">
        <v>33</v>
      </c>
      <c r="S52" s="14" t="s">
        <v>33</v>
      </c>
      <c r="T52" t="s">
        <v>33</v>
      </c>
      <c r="U52" s="14" t="s">
        <v>33</v>
      </c>
      <c r="V52" t="s">
        <v>33</v>
      </c>
      <c r="W52" s="14" t="s">
        <v>33</v>
      </c>
      <c r="X52" t="s">
        <v>33</v>
      </c>
      <c r="Y52" s="14" t="s">
        <v>33</v>
      </c>
      <c r="Z52" t="s">
        <v>33</v>
      </c>
      <c r="AA52" s="14" t="s">
        <v>33</v>
      </c>
      <c r="AB52" t="s">
        <v>33</v>
      </c>
      <c r="AC52" s="14" t="s">
        <v>33</v>
      </c>
      <c r="AD52" t="s">
        <v>33</v>
      </c>
      <c r="AE52" s="14" t="s">
        <v>33</v>
      </c>
      <c r="AF52" t="s">
        <v>33</v>
      </c>
      <c r="AG52" s="14" t="s">
        <v>33</v>
      </c>
      <c r="AH52" t="s">
        <v>33</v>
      </c>
      <c r="AI52" s="14" t="s">
        <v>33</v>
      </c>
      <c r="AJ52" t="s">
        <v>33</v>
      </c>
      <c r="AK52" s="14" t="s">
        <v>33</v>
      </c>
      <c r="AL52" t="s">
        <v>33</v>
      </c>
      <c r="AM52" s="14" t="s">
        <v>33</v>
      </c>
      <c r="AN52" t="s">
        <v>33</v>
      </c>
      <c r="AO52" s="14" t="s">
        <v>33</v>
      </c>
      <c r="AP52" t="s">
        <v>33</v>
      </c>
      <c r="AQ52" s="14" t="s">
        <v>33</v>
      </c>
      <c r="AR52" t="s">
        <v>33</v>
      </c>
      <c r="AS52" s="14" t="s">
        <v>33</v>
      </c>
      <c r="AT52" t="s">
        <v>33</v>
      </c>
      <c r="AU52" s="14" t="s">
        <v>33</v>
      </c>
      <c r="AV52" t="s">
        <v>33</v>
      </c>
      <c r="AW52" s="14" t="s">
        <v>33</v>
      </c>
      <c r="AX52" t="s">
        <v>33</v>
      </c>
      <c r="AY52" s="14" t="s">
        <v>33</v>
      </c>
      <c r="AZ52" t="s">
        <v>33</v>
      </c>
      <c r="BA52" s="14" t="s">
        <v>33</v>
      </c>
      <c r="BB52" t="s">
        <v>33</v>
      </c>
      <c r="BC52" s="14" t="s">
        <v>33</v>
      </c>
      <c r="BD52">
        <f t="shared" si="6"/>
        <v>33</v>
      </c>
      <c r="BE52">
        <f t="shared" si="7"/>
        <v>5964</v>
      </c>
      <c r="BF52">
        <f t="shared" si="8"/>
        <v>180.72727272727272</v>
      </c>
    </row>
    <row r="53" spans="1:59" x14ac:dyDescent="0.2">
      <c r="A53" t="s">
        <v>13</v>
      </c>
      <c r="B53" t="s">
        <v>4</v>
      </c>
      <c r="C53" t="s">
        <v>29</v>
      </c>
      <c r="D53">
        <v>0</v>
      </c>
      <c r="E53" s="14">
        <v>0</v>
      </c>
      <c r="F53">
        <v>1</v>
      </c>
      <c r="G53" s="14">
        <f t="shared" si="0"/>
        <v>174</v>
      </c>
      <c r="H53">
        <v>22</v>
      </c>
      <c r="I53" s="14">
        <f t="shared" si="1"/>
        <v>3960</v>
      </c>
      <c r="J53">
        <v>27</v>
      </c>
      <c r="K53" s="14">
        <f t="shared" si="2"/>
        <v>5022</v>
      </c>
      <c r="L53">
        <v>27</v>
      </c>
      <c r="M53" s="14">
        <f t="shared" si="3"/>
        <v>5184</v>
      </c>
      <c r="N53">
        <v>7</v>
      </c>
      <c r="O53" s="14">
        <f t="shared" si="4"/>
        <v>1386</v>
      </c>
      <c r="P53">
        <v>2</v>
      </c>
      <c r="Q53" s="14">
        <f t="shared" si="5"/>
        <v>408</v>
      </c>
      <c r="R53">
        <v>0</v>
      </c>
      <c r="S53" s="14">
        <f t="shared" si="9"/>
        <v>0</v>
      </c>
      <c r="T53">
        <v>0</v>
      </c>
      <c r="U53" s="14">
        <f>T53*216</f>
        <v>0</v>
      </c>
      <c r="V53" t="s">
        <v>33</v>
      </c>
      <c r="W53" s="14" t="s">
        <v>33</v>
      </c>
      <c r="X53">
        <v>1</v>
      </c>
      <c r="Y53" s="14">
        <f>X53*228</f>
        <v>228</v>
      </c>
      <c r="Z53">
        <v>1</v>
      </c>
      <c r="AA53" s="14">
        <f>Z53*234</f>
        <v>234</v>
      </c>
      <c r="AB53" t="s">
        <v>33</v>
      </c>
      <c r="AC53" s="14" t="s">
        <v>33</v>
      </c>
      <c r="AD53" t="s">
        <v>33</v>
      </c>
      <c r="AE53" s="14" t="s">
        <v>33</v>
      </c>
      <c r="AF53" t="s">
        <v>33</v>
      </c>
      <c r="AG53" s="14" t="s">
        <v>33</v>
      </c>
      <c r="AH53">
        <v>0</v>
      </c>
      <c r="AI53" s="14">
        <f>AH53*258</f>
        <v>0</v>
      </c>
      <c r="AJ53" t="s">
        <v>33</v>
      </c>
      <c r="AK53" s="14" t="s">
        <v>33</v>
      </c>
      <c r="AL53" t="s">
        <v>33</v>
      </c>
      <c r="AM53" s="14" t="s">
        <v>33</v>
      </c>
      <c r="AN53" t="s">
        <v>33</v>
      </c>
      <c r="AO53" s="14" t="s">
        <v>33</v>
      </c>
      <c r="AP53" t="s">
        <v>33</v>
      </c>
      <c r="AQ53" s="14" t="s">
        <v>33</v>
      </c>
      <c r="AR53" t="s">
        <v>33</v>
      </c>
      <c r="AS53" s="14" t="s">
        <v>33</v>
      </c>
      <c r="AT53" t="s">
        <v>33</v>
      </c>
      <c r="AU53" s="14" t="s">
        <v>33</v>
      </c>
      <c r="AV53" t="s">
        <v>33</v>
      </c>
      <c r="AW53" s="14" t="s">
        <v>33</v>
      </c>
      <c r="AX53" t="s">
        <v>33</v>
      </c>
      <c r="AY53" s="14" t="s">
        <v>33</v>
      </c>
      <c r="AZ53" t="s">
        <v>33</v>
      </c>
      <c r="BA53" s="14" t="s">
        <v>33</v>
      </c>
      <c r="BB53" t="s">
        <v>33</v>
      </c>
      <c r="BC53" s="14" t="s">
        <v>33</v>
      </c>
      <c r="BD53">
        <f t="shared" si="6"/>
        <v>88</v>
      </c>
      <c r="BE53">
        <f t="shared" si="7"/>
        <v>16596</v>
      </c>
      <c r="BF53">
        <f t="shared" si="8"/>
        <v>188.59090909090909</v>
      </c>
    </row>
    <row r="54" spans="1:59" x14ac:dyDescent="0.2">
      <c r="A54" t="s">
        <v>13</v>
      </c>
      <c r="B54" t="s">
        <v>4</v>
      </c>
      <c r="C54" t="s">
        <v>30</v>
      </c>
      <c r="D54">
        <v>1</v>
      </c>
      <c r="E54" s="14">
        <v>168</v>
      </c>
      <c r="F54">
        <v>3</v>
      </c>
      <c r="G54" s="14">
        <f t="shared" si="0"/>
        <v>522</v>
      </c>
      <c r="H54">
        <v>23</v>
      </c>
      <c r="I54" s="14">
        <f t="shared" si="1"/>
        <v>4140</v>
      </c>
      <c r="J54">
        <v>32</v>
      </c>
      <c r="K54" s="14">
        <f t="shared" si="2"/>
        <v>5952</v>
      </c>
      <c r="L54">
        <v>12</v>
      </c>
      <c r="M54" s="14">
        <f t="shared" si="3"/>
        <v>2304</v>
      </c>
      <c r="N54">
        <v>2</v>
      </c>
      <c r="O54" s="14">
        <f t="shared" si="4"/>
        <v>396</v>
      </c>
      <c r="P54">
        <v>0</v>
      </c>
      <c r="Q54" s="14">
        <f t="shared" si="5"/>
        <v>0</v>
      </c>
      <c r="R54">
        <v>1</v>
      </c>
      <c r="S54" s="14">
        <f t="shared" si="9"/>
        <v>210</v>
      </c>
      <c r="T54">
        <v>1</v>
      </c>
      <c r="U54" s="14">
        <f>T54*216</f>
        <v>216</v>
      </c>
      <c r="V54" t="s">
        <v>33</v>
      </c>
      <c r="W54" s="14" t="s">
        <v>33</v>
      </c>
      <c r="X54">
        <v>0</v>
      </c>
      <c r="Y54" s="14">
        <f>X54*228</f>
        <v>0</v>
      </c>
      <c r="Z54">
        <v>0</v>
      </c>
      <c r="AA54" s="14">
        <f>Z54*234</f>
        <v>0</v>
      </c>
      <c r="AB54" t="s">
        <v>33</v>
      </c>
      <c r="AC54" s="14" t="s">
        <v>33</v>
      </c>
      <c r="AD54" t="s">
        <v>33</v>
      </c>
      <c r="AE54" s="14" t="s">
        <v>33</v>
      </c>
      <c r="AF54" t="s">
        <v>33</v>
      </c>
      <c r="AG54" s="14" t="s">
        <v>33</v>
      </c>
      <c r="AH54">
        <v>1</v>
      </c>
      <c r="AI54" s="14">
        <f>AH54*258</f>
        <v>258</v>
      </c>
      <c r="AJ54" t="s">
        <v>33</v>
      </c>
      <c r="AK54" s="14" t="s">
        <v>33</v>
      </c>
      <c r="AL54" t="s">
        <v>33</v>
      </c>
      <c r="AM54" s="14" t="s">
        <v>33</v>
      </c>
      <c r="AN54" t="s">
        <v>33</v>
      </c>
      <c r="AO54" s="14" t="s">
        <v>33</v>
      </c>
      <c r="AP54" t="s">
        <v>33</v>
      </c>
      <c r="AQ54" s="14" t="s">
        <v>33</v>
      </c>
      <c r="AR54" t="s">
        <v>33</v>
      </c>
      <c r="AS54" s="14" t="s">
        <v>33</v>
      </c>
      <c r="AT54" t="s">
        <v>33</v>
      </c>
      <c r="AU54" s="14" t="s">
        <v>33</v>
      </c>
      <c r="AV54" t="s">
        <v>33</v>
      </c>
      <c r="AW54" s="14" t="s">
        <v>33</v>
      </c>
      <c r="AX54" t="s">
        <v>33</v>
      </c>
      <c r="AY54" s="14" t="s">
        <v>33</v>
      </c>
      <c r="AZ54" t="s">
        <v>33</v>
      </c>
      <c r="BA54" s="14" t="s">
        <v>33</v>
      </c>
      <c r="BB54" t="s">
        <v>33</v>
      </c>
      <c r="BC54" s="14" t="s">
        <v>33</v>
      </c>
      <c r="BD54">
        <f t="shared" si="6"/>
        <v>76</v>
      </c>
      <c r="BE54">
        <f t="shared" si="7"/>
        <v>14166</v>
      </c>
      <c r="BF54">
        <f t="shared" si="8"/>
        <v>186.39473684210526</v>
      </c>
    </row>
    <row r="55" spans="1:59" x14ac:dyDescent="0.2">
      <c r="A55" t="s">
        <v>13</v>
      </c>
      <c r="B55" t="s">
        <v>5</v>
      </c>
      <c r="C55" t="s">
        <v>29</v>
      </c>
      <c r="D55" t="s">
        <v>33</v>
      </c>
      <c r="E55" s="14" t="s">
        <v>33</v>
      </c>
      <c r="F55">
        <v>1</v>
      </c>
      <c r="G55" s="14">
        <f t="shared" si="0"/>
        <v>174</v>
      </c>
      <c r="H55">
        <v>24</v>
      </c>
      <c r="I55" s="14">
        <f t="shared" si="1"/>
        <v>4320</v>
      </c>
      <c r="J55">
        <v>21</v>
      </c>
      <c r="K55" s="14">
        <f t="shared" si="2"/>
        <v>3906</v>
      </c>
      <c r="L55">
        <v>15</v>
      </c>
      <c r="M55" s="14">
        <f t="shared" si="3"/>
        <v>2880</v>
      </c>
      <c r="N55">
        <v>4</v>
      </c>
      <c r="O55" s="14">
        <f t="shared" si="4"/>
        <v>792</v>
      </c>
      <c r="P55" t="s">
        <v>33</v>
      </c>
      <c r="Q55" s="14" t="s">
        <v>33</v>
      </c>
      <c r="R55">
        <v>0</v>
      </c>
      <c r="S55" s="14">
        <f t="shared" si="9"/>
        <v>0</v>
      </c>
      <c r="T55">
        <v>0</v>
      </c>
      <c r="U55" s="14">
        <f>T55*216</f>
        <v>0</v>
      </c>
      <c r="V55" t="s">
        <v>33</v>
      </c>
      <c r="W55" s="14" t="s">
        <v>33</v>
      </c>
      <c r="X55" t="s">
        <v>33</v>
      </c>
      <c r="Y55" s="14" t="s">
        <v>33</v>
      </c>
      <c r="Z55" t="s">
        <v>33</v>
      </c>
      <c r="AA55" s="14" t="s">
        <v>33</v>
      </c>
      <c r="AB55" t="s">
        <v>33</v>
      </c>
      <c r="AC55" s="14" t="s">
        <v>33</v>
      </c>
      <c r="AD55" t="s">
        <v>33</v>
      </c>
      <c r="AE55" s="14" t="s">
        <v>33</v>
      </c>
      <c r="AF55" t="s">
        <v>33</v>
      </c>
      <c r="AG55" s="14" t="s">
        <v>33</v>
      </c>
      <c r="AH55">
        <v>0</v>
      </c>
      <c r="AI55" s="14">
        <f>AH55*258</f>
        <v>0</v>
      </c>
      <c r="AJ55" t="s">
        <v>33</v>
      </c>
      <c r="AK55" s="14" t="s">
        <v>33</v>
      </c>
      <c r="AL55" t="s">
        <v>33</v>
      </c>
      <c r="AM55" s="14" t="s">
        <v>33</v>
      </c>
      <c r="AN55" t="s">
        <v>33</v>
      </c>
      <c r="AO55" s="14" t="s">
        <v>33</v>
      </c>
      <c r="AP55" t="s">
        <v>33</v>
      </c>
      <c r="AQ55" s="14" t="s">
        <v>33</v>
      </c>
      <c r="AR55" t="s">
        <v>33</v>
      </c>
      <c r="AS55" s="14" t="s">
        <v>33</v>
      </c>
      <c r="AT55" t="s">
        <v>33</v>
      </c>
      <c r="AU55" s="14" t="s">
        <v>33</v>
      </c>
      <c r="AV55">
        <v>0</v>
      </c>
      <c r="AW55" s="14">
        <f>AV55*300</f>
        <v>0</v>
      </c>
      <c r="AX55" t="s">
        <v>33</v>
      </c>
      <c r="AY55" s="14" t="s">
        <v>33</v>
      </c>
      <c r="AZ55" t="s">
        <v>33</v>
      </c>
      <c r="BA55" s="14" t="s">
        <v>33</v>
      </c>
      <c r="BB55" t="s">
        <v>33</v>
      </c>
      <c r="BC55" s="14" t="s">
        <v>33</v>
      </c>
      <c r="BD55">
        <f t="shared" si="6"/>
        <v>65</v>
      </c>
      <c r="BE55">
        <f t="shared" si="7"/>
        <v>12072</v>
      </c>
      <c r="BF55">
        <f t="shared" si="8"/>
        <v>185.72307692307692</v>
      </c>
    </row>
    <row r="56" spans="1:59" x14ac:dyDescent="0.2">
      <c r="A56" t="s">
        <v>13</v>
      </c>
      <c r="B56" t="s">
        <v>5</v>
      </c>
      <c r="C56" t="s">
        <v>30</v>
      </c>
      <c r="D56" t="s">
        <v>33</v>
      </c>
      <c r="E56" s="14" t="s">
        <v>33</v>
      </c>
      <c r="F56">
        <v>3</v>
      </c>
      <c r="G56" s="14">
        <f t="shared" si="0"/>
        <v>522</v>
      </c>
      <c r="H56">
        <v>25</v>
      </c>
      <c r="I56" s="14">
        <f t="shared" si="1"/>
        <v>4500</v>
      </c>
      <c r="J56">
        <v>38</v>
      </c>
      <c r="K56" s="14">
        <f t="shared" si="2"/>
        <v>7068</v>
      </c>
      <c r="L56">
        <v>12</v>
      </c>
      <c r="M56" s="14">
        <f t="shared" si="3"/>
        <v>2304</v>
      </c>
      <c r="N56">
        <v>2</v>
      </c>
      <c r="O56" s="14">
        <f t="shared" si="4"/>
        <v>396</v>
      </c>
      <c r="P56" t="s">
        <v>33</v>
      </c>
      <c r="Q56" s="14" t="s">
        <v>33</v>
      </c>
      <c r="R56">
        <v>1</v>
      </c>
      <c r="S56" s="14">
        <f t="shared" si="9"/>
        <v>210</v>
      </c>
      <c r="T56">
        <v>0</v>
      </c>
      <c r="U56" s="14">
        <f>T56*216</f>
        <v>0</v>
      </c>
      <c r="V56" t="s">
        <v>33</v>
      </c>
      <c r="W56" s="14" t="s">
        <v>33</v>
      </c>
      <c r="X56" t="s">
        <v>33</v>
      </c>
      <c r="Y56" s="14" t="s">
        <v>33</v>
      </c>
      <c r="Z56" t="s">
        <v>33</v>
      </c>
      <c r="AA56" s="14" t="s">
        <v>33</v>
      </c>
      <c r="AB56" t="s">
        <v>33</v>
      </c>
      <c r="AC56" s="14" t="s">
        <v>33</v>
      </c>
      <c r="AD56" t="s">
        <v>33</v>
      </c>
      <c r="AE56" s="14" t="s">
        <v>33</v>
      </c>
      <c r="AF56" t="s">
        <v>33</v>
      </c>
      <c r="AG56" s="14" t="s">
        <v>33</v>
      </c>
      <c r="AH56">
        <v>1</v>
      </c>
      <c r="AI56" s="14">
        <f>AH56*258</f>
        <v>258</v>
      </c>
      <c r="AJ56" t="s">
        <v>33</v>
      </c>
      <c r="AK56" s="14" t="s">
        <v>33</v>
      </c>
      <c r="AL56" t="s">
        <v>33</v>
      </c>
      <c r="AM56" s="14" t="s">
        <v>33</v>
      </c>
      <c r="AN56" t="s">
        <v>33</v>
      </c>
      <c r="AO56" s="14" t="s">
        <v>33</v>
      </c>
      <c r="AP56" t="s">
        <v>33</v>
      </c>
      <c r="AQ56" s="14" t="s">
        <v>33</v>
      </c>
      <c r="AR56" t="s">
        <v>33</v>
      </c>
      <c r="AS56" s="14" t="s">
        <v>33</v>
      </c>
      <c r="AT56" t="s">
        <v>33</v>
      </c>
      <c r="AU56" s="14" t="s">
        <v>33</v>
      </c>
      <c r="AV56">
        <v>1</v>
      </c>
      <c r="AW56" s="14">
        <f>AV56*300</f>
        <v>300</v>
      </c>
      <c r="AX56" t="s">
        <v>33</v>
      </c>
      <c r="AY56" s="14" t="s">
        <v>33</v>
      </c>
      <c r="AZ56" t="s">
        <v>33</v>
      </c>
      <c r="BA56" s="14" t="s">
        <v>33</v>
      </c>
      <c r="BB56" t="s">
        <v>33</v>
      </c>
      <c r="BC56" s="14" t="s">
        <v>33</v>
      </c>
      <c r="BD56">
        <f t="shared" si="6"/>
        <v>83</v>
      </c>
      <c r="BE56">
        <f t="shared" si="7"/>
        <v>15558</v>
      </c>
      <c r="BF56">
        <f t="shared" si="8"/>
        <v>187.44578313253012</v>
      </c>
    </row>
    <row r="57" spans="1:59" x14ac:dyDescent="0.2">
      <c r="A57" t="s">
        <v>13</v>
      </c>
      <c r="B57" t="s">
        <v>6</v>
      </c>
      <c r="C57" t="s">
        <v>29</v>
      </c>
      <c r="D57" t="s">
        <v>33</v>
      </c>
      <c r="E57" s="14" t="s">
        <v>33</v>
      </c>
      <c r="F57">
        <v>0</v>
      </c>
      <c r="G57" s="14">
        <f t="shared" si="0"/>
        <v>0</v>
      </c>
      <c r="H57">
        <v>26</v>
      </c>
      <c r="I57" s="14">
        <f t="shared" si="1"/>
        <v>4680</v>
      </c>
      <c r="J57">
        <v>28</v>
      </c>
      <c r="K57" s="14">
        <f t="shared" si="2"/>
        <v>5208</v>
      </c>
      <c r="L57">
        <v>23</v>
      </c>
      <c r="M57" s="14">
        <f t="shared" si="3"/>
        <v>4416</v>
      </c>
      <c r="N57">
        <v>1</v>
      </c>
      <c r="O57" s="14">
        <f t="shared" si="4"/>
        <v>198</v>
      </c>
      <c r="P57">
        <v>0</v>
      </c>
      <c r="Q57" s="14">
        <f t="shared" si="5"/>
        <v>0</v>
      </c>
      <c r="R57" t="s">
        <v>33</v>
      </c>
      <c r="S57" s="14" t="s">
        <v>33</v>
      </c>
      <c r="T57" t="s">
        <v>33</v>
      </c>
      <c r="U57" s="14" t="s">
        <v>33</v>
      </c>
      <c r="V57" t="s">
        <v>33</v>
      </c>
      <c r="W57" s="14" t="s">
        <v>33</v>
      </c>
      <c r="X57">
        <v>0</v>
      </c>
      <c r="Y57" s="14">
        <f t="shared" ref="Y57:Y62" si="12">X57*228</f>
        <v>0</v>
      </c>
      <c r="Z57" t="s">
        <v>33</v>
      </c>
      <c r="AA57" s="14" t="s">
        <v>33</v>
      </c>
      <c r="AB57" t="s">
        <v>33</v>
      </c>
      <c r="AC57" s="14" t="s">
        <v>33</v>
      </c>
      <c r="AD57" t="s">
        <v>33</v>
      </c>
      <c r="AE57" s="14" t="s">
        <v>33</v>
      </c>
      <c r="AF57" t="s">
        <v>33</v>
      </c>
      <c r="AG57" s="14" t="s">
        <v>33</v>
      </c>
      <c r="AH57" t="s">
        <v>33</v>
      </c>
      <c r="AI57" s="14" t="s">
        <v>33</v>
      </c>
      <c r="AJ57" t="s">
        <v>33</v>
      </c>
      <c r="AK57" s="14" t="s">
        <v>33</v>
      </c>
      <c r="AL57" t="s">
        <v>33</v>
      </c>
      <c r="AM57" s="14" t="s">
        <v>33</v>
      </c>
      <c r="AN57" t="s">
        <v>33</v>
      </c>
      <c r="AO57" s="14" t="s">
        <v>33</v>
      </c>
      <c r="AP57" t="s">
        <v>33</v>
      </c>
      <c r="AQ57" s="14" t="s">
        <v>33</v>
      </c>
      <c r="AR57" t="s">
        <v>33</v>
      </c>
      <c r="AS57" s="14" t="s">
        <v>33</v>
      </c>
      <c r="AT57" t="s">
        <v>33</v>
      </c>
      <c r="AU57" s="14" t="s">
        <v>33</v>
      </c>
      <c r="AV57" t="s">
        <v>33</v>
      </c>
      <c r="AW57" s="14" t="s">
        <v>33</v>
      </c>
      <c r="AX57" t="s">
        <v>33</v>
      </c>
      <c r="AY57" s="14" t="s">
        <v>33</v>
      </c>
      <c r="AZ57" t="s">
        <v>33</v>
      </c>
      <c r="BA57" s="14" t="s">
        <v>33</v>
      </c>
      <c r="BB57" t="s">
        <v>33</v>
      </c>
      <c r="BC57" s="14" t="s">
        <v>33</v>
      </c>
      <c r="BD57">
        <f t="shared" si="6"/>
        <v>78</v>
      </c>
      <c r="BE57">
        <f t="shared" si="7"/>
        <v>14502</v>
      </c>
      <c r="BF57">
        <f t="shared" si="8"/>
        <v>185.92307692307693</v>
      </c>
    </row>
    <row r="58" spans="1:59" x14ac:dyDescent="0.2">
      <c r="A58" t="s">
        <v>13</v>
      </c>
      <c r="B58" t="s">
        <v>6</v>
      </c>
      <c r="C58" t="s">
        <v>30</v>
      </c>
      <c r="D58" t="s">
        <v>33</v>
      </c>
      <c r="E58" s="14" t="s">
        <v>33</v>
      </c>
      <c r="F58">
        <v>2</v>
      </c>
      <c r="G58" s="14">
        <f t="shared" si="0"/>
        <v>348</v>
      </c>
      <c r="H58">
        <v>27</v>
      </c>
      <c r="I58" s="14">
        <f t="shared" si="1"/>
        <v>4860</v>
      </c>
      <c r="J58">
        <v>30</v>
      </c>
      <c r="K58" s="14">
        <f t="shared" si="2"/>
        <v>5580</v>
      </c>
      <c r="L58">
        <v>6</v>
      </c>
      <c r="M58" s="14">
        <f t="shared" si="3"/>
        <v>1152</v>
      </c>
      <c r="N58">
        <v>0</v>
      </c>
      <c r="O58" s="14">
        <f t="shared" si="4"/>
        <v>0</v>
      </c>
      <c r="P58">
        <v>2</v>
      </c>
      <c r="Q58" s="14">
        <f t="shared" si="5"/>
        <v>408</v>
      </c>
      <c r="R58" t="s">
        <v>33</v>
      </c>
      <c r="S58" s="14" t="s">
        <v>33</v>
      </c>
      <c r="T58" t="s">
        <v>33</v>
      </c>
      <c r="U58" s="14" t="s">
        <v>33</v>
      </c>
      <c r="V58" t="s">
        <v>33</v>
      </c>
      <c r="W58" s="14" t="s">
        <v>33</v>
      </c>
      <c r="X58">
        <v>1</v>
      </c>
      <c r="Y58" s="14">
        <f t="shared" si="12"/>
        <v>228</v>
      </c>
      <c r="Z58" t="s">
        <v>33</v>
      </c>
      <c r="AA58" s="14" t="s">
        <v>33</v>
      </c>
      <c r="AB58" t="s">
        <v>33</v>
      </c>
      <c r="AC58" s="14" t="s">
        <v>33</v>
      </c>
      <c r="AD58" t="s">
        <v>33</v>
      </c>
      <c r="AE58" s="14" t="s">
        <v>33</v>
      </c>
      <c r="AF58" t="s">
        <v>33</v>
      </c>
      <c r="AG58" s="14" t="s">
        <v>33</v>
      </c>
      <c r="AH58" t="s">
        <v>33</v>
      </c>
      <c r="AI58" s="14" t="s">
        <v>33</v>
      </c>
      <c r="AJ58" t="s">
        <v>33</v>
      </c>
      <c r="AK58" s="14" t="s">
        <v>33</v>
      </c>
      <c r="AL58" t="s">
        <v>33</v>
      </c>
      <c r="AM58" s="14" t="s">
        <v>33</v>
      </c>
      <c r="AN58" t="s">
        <v>33</v>
      </c>
      <c r="AO58" s="14" t="s">
        <v>33</v>
      </c>
      <c r="AP58" t="s">
        <v>33</v>
      </c>
      <c r="AQ58" s="14" t="s">
        <v>33</v>
      </c>
      <c r="AR58" t="s">
        <v>33</v>
      </c>
      <c r="AS58" s="14" t="s">
        <v>33</v>
      </c>
      <c r="AT58" t="s">
        <v>33</v>
      </c>
      <c r="AU58" s="14" t="s">
        <v>33</v>
      </c>
      <c r="AV58" t="s">
        <v>33</v>
      </c>
      <c r="AW58" s="14" t="s">
        <v>33</v>
      </c>
      <c r="AX58" t="s">
        <v>33</v>
      </c>
      <c r="AY58" s="14" t="s">
        <v>33</v>
      </c>
      <c r="AZ58" t="s">
        <v>33</v>
      </c>
      <c r="BA58" s="14" t="s">
        <v>33</v>
      </c>
      <c r="BB58" t="s">
        <v>33</v>
      </c>
      <c r="BC58" s="14" t="s">
        <v>33</v>
      </c>
      <c r="BD58">
        <f t="shared" si="6"/>
        <v>68</v>
      </c>
      <c r="BE58">
        <f t="shared" si="7"/>
        <v>12576</v>
      </c>
      <c r="BF58">
        <f t="shared" si="8"/>
        <v>184.94117647058823</v>
      </c>
    </row>
    <row r="59" spans="1:59" x14ac:dyDescent="0.2">
      <c r="A59" t="s">
        <v>13</v>
      </c>
      <c r="B59" t="s">
        <v>7</v>
      </c>
      <c r="C59" t="s">
        <v>29</v>
      </c>
      <c r="D59" t="s">
        <v>33</v>
      </c>
      <c r="E59" s="14" t="s">
        <v>33</v>
      </c>
      <c r="F59">
        <v>1</v>
      </c>
      <c r="G59" s="14">
        <f t="shared" si="0"/>
        <v>174</v>
      </c>
      <c r="H59">
        <v>28</v>
      </c>
      <c r="I59" s="14">
        <f t="shared" si="1"/>
        <v>5040</v>
      </c>
      <c r="J59">
        <v>11</v>
      </c>
      <c r="K59" s="14">
        <f t="shared" si="2"/>
        <v>2046</v>
      </c>
      <c r="L59">
        <v>20</v>
      </c>
      <c r="M59" s="14">
        <f t="shared" si="3"/>
        <v>3840</v>
      </c>
      <c r="N59">
        <v>15</v>
      </c>
      <c r="O59" s="14">
        <f t="shared" si="4"/>
        <v>2970</v>
      </c>
      <c r="P59">
        <v>12</v>
      </c>
      <c r="Q59" s="14">
        <f t="shared" si="5"/>
        <v>2448</v>
      </c>
      <c r="R59">
        <v>8</v>
      </c>
      <c r="S59" s="14">
        <f t="shared" si="9"/>
        <v>1680</v>
      </c>
      <c r="T59" t="s">
        <v>33</v>
      </c>
      <c r="U59" s="14" t="s">
        <v>33</v>
      </c>
      <c r="V59">
        <v>1</v>
      </c>
      <c r="W59" s="14">
        <f>V59*222</f>
        <v>222</v>
      </c>
      <c r="X59">
        <v>1</v>
      </c>
      <c r="Y59" s="14">
        <f t="shared" si="12"/>
        <v>228</v>
      </c>
      <c r="Z59" t="s">
        <v>33</v>
      </c>
      <c r="AA59" s="14" t="s">
        <v>33</v>
      </c>
      <c r="AB59" t="s">
        <v>33</v>
      </c>
      <c r="AC59" s="14" t="s">
        <v>33</v>
      </c>
      <c r="AD59" t="s">
        <v>33</v>
      </c>
      <c r="AE59" s="14" t="s">
        <v>33</v>
      </c>
      <c r="AF59" t="s">
        <v>33</v>
      </c>
      <c r="AG59" s="14" t="s">
        <v>33</v>
      </c>
      <c r="AH59">
        <v>1</v>
      </c>
      <c r="AI59" s="14">
        <f>AH59*258</f>
        <v>258</v>
      </c>
      <c r="AJ59" t="s">
        <v>33</v>
      </c>
      <c r="AK59" s="14" t="s">
        <v>33</v>
      </c>
      <c r="AL59" t="s">
        <v>33</v>
      </c>
      <c r="AM59" s="14" t="s">
        <v>33</v>
      </c>
      <c r="AN59" t="s">
        <v>33</v>
      </c>
      <c r="AO59" s="14" t="s">
        <v>33</v>
      </c>
      <c r="AP59" t="s">
        <v>33</v>
      </c>
      <c r="AQ59" s="14" t="s">
        <v>33</v>
      </c>
      <c r="AR59" t="s">
        <v>33</v>
      </c>
      <c r="AS59" s="14" t="s">
        <v>33</v>
      </c>
      <c r="AT59" t="s">
        <v>33</v>
      </c>
      <c r="AU59" s="14" t="s">
        <v>33</v>
      </c>
      <c r="AV59" t="s">
        <v>33</v>
      </c>
      <c r="AW59" s="14" t="s">
        <v>33</v>
      </c>
      <c r="AX59" t="s">
        <v>33</v>
      </c>
      <c r="AY59" s="14" t="s">
        <v>33</v>
      </c>
      <c r="AZ59" t="s">
        <v>33</v>
      </c>
      <c r="BA59" s="14" t="s">
        <v>33</v>
      </c>
      <c r="BB59" t="s">
        <v>33</v>
      </c>
      <c r="BC59" s="14" t="s">
        <v>33</v>
      </c>
      <c r="BD59">
        <f t="shared" si="6"/>
        <v>98</v>
      </c>
      <c r="BE59">
        <f t="shared" si="7"/>
        <v>18906</v>
      </c>
      <c r="BF59">
        <f t="shared" si="8"/>
        <v>192.91836734693877</v>
      </c>
    </row>
    <row r="60" spans="1:59" x14ac:dyDescent="0.2">
      <c r="A60" t="s">
        <v>13</v>
      </c>
      <c r="B60" t="s">
        <v>7</v>
      </c>
      <c r="C60" t="s">
        <v>30</v>
      </c>
      <c r="D60" t="s">
        <v>33</v>
      </c>
      <c r="E60" s="14" t="s">
        <v>33</v>
      </c>
      <c r="F60">
        <v>0</v>
      </c>
      <c r="G60" s="14">
        <f t="shared" si="0"/>
        <v>0</v>
      </c>
      <c r="H60">
        <v>29</v>
      </c>
      <c r="I60" s="14">
        <f t="shared" si="1"/>
        <v>5220</v>
      </c>
      <c r="J60">
        <v>33</v>
      </c>
      <c r="K60" s="14">
        <f t="shared" si="2"/>
        <v>6138</v>
      </c>
      <c r="L60">
        <v>38</v>
      </c>
      <c r="M60" s="14">
        <f t="shared" si="3"/>
        <v>7296</v>
      </c>
      <c r="N60">
        <v>11</v>
      </c>
      <c r="O60" s="14">
        <f t="shared" si="4"/>
        <v>2178</v>
      </c>
      <c r="P60">
        <v>6</v>
      </c>
      <c r="Q60" s="14">
        <f t="shared" si="5"/>
        <v>1224</v>
      </c>
      <c r="R60">
        <v>6</v>
      </c>
      <c r="S60" s="14">
        <f t="shared" si="9"/>
        <v>1260</v>
      </c>
      <c r="T60" t="s">
        <v>33</v>
      </c>
      <c r="U60" s="14" t="s">
        <v>33</v>
      </c>
      <c r="V60">
        <v>0</v>
      </c>
      <c r="W60" s="14">
        <f>V60*222</f>
        <v>0</v>
      </c>
      <c r="X60">
        <v>0</v>
      </c>
      <c r="Y60" s="14">
        <f t="shared" si="12"/>
        <v>0</v>
      </c>
      <c r="Z60" t="s">
        <v>33</v>
      </c>
      <c r="AA60" s="14" t="s">
        <v>33</v>
      </c>
      <c r="AB60" t="s">
        <v>33</v>
      </c>
      <c r="AC60" s="14" t="s">
        <v>33</v>
      </c>
      <c r="AD60" t="s">
        <v>33</v>
      </c>
      <c r="AE60" s="14" t="s">
        <v>33</v>
      </c>
      <c r="AF60" t="s">
        <v>33</v>
      </c>
      <c r="AG60" s="14" t="s">
        <v>33</v>
      </c>
      <c r="AH60">
        <v>0</v>
      </c>
      <c r="AI60" s="14">
        <f>AH60*258</f>
        <v>0</v>
      </c>
      <c r="AJ60" t="s">
        <v>33</v>
      </c>
      <c r="AK60" s="14" t="s">
        <v>33</v>
      </c>
      <c r="AL60" t="s">
        <v>33</v>
      </c>
      <c r="AM60" s="14" t="s">
        <v>33</v>
      </c>
      <c r="AN60" t="s">
        <v>33</v>
      </c>
      <c r="AO60" s="14" t="s">
        <v>33</v>
      </c>
      <c r="AP60" t="s">
        <v>33</v>
      </c>
      <c r="AQ60" s="14" t="s">
        <v>33</v>
      </c>
      <c r="AR60" t="s">
        <v>33</v>
      </c>
      <c r="AS60" s="14" t="s">
        <v>33</v>
      </c>
      <c r="AT60" t="s">
        <v>33</v>
      </c>
      <c r="AU60" s="14" t="s">
        <v>33</v>
      </c>
      <c r="AV60" t="s">
        <v>33</v>
      </c>
      <c r="AW60" s="14" t="s">
        <v>33</v>
      </c>
      <c r="AX60" t="s">
        <v>33</v>
      </c>
      <c r="AY60" s="14" t="s">
        <v>33</v>
      </c>
      <c r="AZ60" t="s">
        <v>33</v>
      </c>
      <c r="BA60" s="14" t="s">
        <v>33</v>
      </c>
      <c r="BB60" t="s">
        <v>33</v>
      </c>
      <c r="BC60" s="14" t="s">
        <v>33</v>
      </c>
      <c r="BD60">
        <f t="shared" si="6"/>
        <v>123</v>
      </c>
      <c r="BE60">
        <f t="shared" si="7"/>
        <v>23316</v>
      </c>
      <c r="BF60">
        <f t="shared" si="8"/>
        <v>189.5609756097561</v>
      </c>
    </row>
    <row r="61" spans="1:59" x14ac:dyDescent="0.2">
      <c r="A61" t="s">
        <v>13</v>
      </c>
      <c r="B61" t="s">
        <v>8</v>
      </c>
      <c r="C61" t="s">
        <v>29</v>
      </c>
      <c r="D61">
        <v>0</v>
      </c>
      <c r="E61" s="14">
        <v>0</v>
      </c>
      <c r="F61" t="s">
        <v>33</v>
      </c>
      <c r="G61" s="14" t="s">
        <v>33</v>
      </c>
      <c r="H61">
        <v>30</v>
      </c>
      <c r="I61" s="14">
        <f t="shared" si="1"/>
        <v>5400</v>
      </c>
      <c r="J61">
        <v>22</v>
      </c>
      <c r="K61" s="14">
        <f t="shared" si="2"/>
        <v>4092</v>
      </c>
      <c r="L61">
        <v>33</v>
      </c>
      <c r="M61" s="14">
        <f t="shared" si="3"/>
        <v>6336</v>
      </c>
      <c r="N61">
        <v>21</v>
      </c>
      <c r="O61" s="14">
        <f t="shared" si="4"/>
        <v>4158</v>
      </c>
      <c r="P61">
        <v>5</v>
      </c>
      <c r="Q61" s="14">
        <f t="shared" si="5"/>
        <v>1020</v>
      </c>
      <c r="R61">
        <v>2</v>
      </c>
      <c r="S61" s="14">
        <f t="shared" si="9"/>
        <v>420</v>
      </c>
      <c r="T61" t="s">
        <v>33</v>
      </c>
      <c r="U61" s="14" t="s">
        <v>33</v>
      </c>
      <c r="V61">
        <v>1</v>
      </c>
      <c r="W61" s="14">
        <f>V61*222</f>
        <v>222</v>
      </c>
      <c r="X61">
        <v>1</v>
      </c>
      <c r="Y61" s="14">
        <f t="shared" si="12"/>
        <v>228</v>
      </c>
      <c r="Z61" t="s">
        <v>33</v>
      </c>
      <c r="AA61" s="14" t="s">
        <v>33</v>
      </c>
      <c r="AB61" t="s">
        <v>33</v>
      </c>
      <c r="AC61" s="14" t="s">
        <v>33</v>
      </c>
      <c r="AD61">
        <v>0</v>
      </c>
      <c r="AE61" s="14">
        <f>AD61*246</f>
        <v>0</v>
      </c>
      <c r="AF61" t="s">
        <v>33</v>
      </c>
      <c r="AG61" s="14" t="s">
        <v>33</v>
      </c>
      <c r="AH61" t="s">
        <v>33</v>
      </c>
      <c r="AI61" s="14" t="s">
        <v>33</v>
      </c>
      <c r="AJ61" t="s">
        <v>33</v>
      </c>
      <c r="AK61" s="14" t="s">
        <v>33</v>
      </c>
      <c r="AL61" t="s">
        <v>33</v>
      </c>
      <c r="AM61" s="14" t="s">
        <v>33</v>
      </c>
      <c r="AN61" t="s">
        <v>33</v>
      </c>
      <c r="AO61" s="14" t="s">
        <v>33</v>
      </c>
      <c r="AP61" t="s">
        <v>33</v>
      </c>
      <c r="AQ61" s="14" t="s">
        <v>33</v>
      </c>
      <c r="AR61" t="s">
        <v>33</v>
      </c>
      <c r="AS61" s="14" t="s">
        <v>33</v>
      </c>
      <c r="AT61" t="s">
        <v>33</v>
      </c>
      <c r="AU61" s="14" t="s">
        <v>33</v>
      </c>
      <c r="AV61" t="s">
        <v>33</v>
      </c>
      <c r="AW61" s="14" t="s">
        <v>33</v>
      </c>
      <c r="AX61" t="s">
        <v>33</v>
      </c>
      <c r="AY61" s="14" t="s">
        <v>33</v>
      </c>
      <c r="AZ61" t="s">
        <v>33</v>
      </c>
      <c r="BA61" s="14" t="s">
        <v>33</v>
      </c>
      <c r="BB61" t="s">
        <v>33</v>
      </c>
      <c r="BC61" s="14" t="s">
        <v>33</v>
      </c>
      <c r="BD61">
        <f t="shared" si="6"/>
        <v>115</v>
      </c>
      <c r="BE61">
        <f t="shared" si="7"/>
        <v>21876</v>
      </c>
      <c r="BF61">
        <f t="shared" si="8"/>
        <v>190.22608695652173</v>
      </c>
      <c r="BG61" t="s">
        <v>53</v>
      </c>
    </row>
    <row r="62" spans="1:59" x14ac:dyDescent="0.2">
      <c r="A62" t="s">
        <v>13</v>
      </c>
      <c r="B62" t="s">
        <v>8</v>
      </c>
      <c r="C62" t="s">
        <v>30</v>
      </c>
      <c r="D62">
        <v>1</v>
      </c>
      <c r="E62" s="14">
        <v>168</v>
      </c>
      <c r="F62" t="s">
        <v>33</v>
      </c>
      <c r="G62" s="14" t="s">
        <v>33</v>
      </c>
      <c r="H62">
        <v>31</v>
      </c>
      <c r="I62" s="14">
        <f t="shared" si="1"/>
        <v>5580</v>
      </c>
      <c r="J62">
        <v>20</v>
      </c>
      <c r="K62" s="14">
        <f t="shared" si="2"/>
        <v>3720</v>
      </c>
      <c r="L62">
        <v>21</v>
      </c>
      <c r="M62" s="14">
        <f t="shared" si="3"/>
        <v>4032</v>
      </c>
      <c r="N62">
        <v>10</v>
      </c>
      <c r="O62" s="14">
        <f t="shared" si="4"/>
        <v>1980</v>
      </c>
      <c r="P62">
        <v>1</v>
      </c>
      <c r="Q62" s="14">
        <f t="shared" si="5"/>
        <v>204</v>
      </c>
      <c r="R62">
        <v>1</v>
      </c>
      <c r="S62" s="14">
        <f t="shared" si="9"/>
        <v>210</v>
      </c>
      <c r="T62" t="s">
        <v>33</v>
      </c>
      <c r="U62" s="14" t="s">
        <v>33</v>
      </c>
      <c r="V62">
        <v>1</v>
      </c>
      <c r="W62" s="14">
        <f>V62*222</f>
        <v>222</v>
      </c>
      <c r="X62">
        <v>0</v>
      </c>
      <c r="Y62" s="14">
        <f t="shared" si="12"/>
        <v>0</v>
      </c>
      <c r="Z62" t="s">
        <v>33</v>
      </c>
      <c r="AA62" s="14" t="s">
        <v>33</v>
      </c>
      <c r="AB62" t="s">
        <v>33</v>
      </c>
      <c r="AC62" s="14" t="s">
        <v>33</v>
      </c>
      <c r="AD62">
        <v>1</v>
      </c>
      <c r="AE62" s="14">
        <f>AD62*246</f>
        <v>246</v>
      </c>
      <c r="AF62" t="s">
        <v>33</v>
      </c>
      <c r="AG62" s="14" t="s">
        <v>33</v>
      </c>
      <c r="AH62" t="s">
        <v>33</v>
      </c>
      <c r="AI62" s="14" t="s">
        <v>33</v>
      </c>
      <c r="AJ62" t="s">
        <v>33</v>
      </c>
      <c r="AK62" s="14" t="s">
        <v>33</v>
      </c>
      <c r="AL62" t="s">
        <v>33</v>
      </c>
      <c r="AM62" s="14" t="s">
        <v>33</v>
      </c>
      <c r="AN62" t="s">
        <v>33</v>
      </c>
      <c r="AO62" s="14" t="s">
        <v>33</v>
      </c>
      <c r="AP62" t="s">
        <v>33</v>
      </c>
      <c r="AQ62" s="14" t="s">
        <v>33</v>
      </c>
      <c r="AR62" t="s">
        <v>33</v>
      </c>
      <c r="AS62" s="14" t="s">
        <v>33</v>
      </c>
      <c r="AT62" t="s">
        <v>33</v>
      </c>
      <c r="AU62" s="14" t="s">
        <v>33</v>
      </c>
      <c r="AV62" t="s">
        <v>33</v>
      </c>
      <c r="AW62" s="14" t="s">
        <v>33</v>
      </c>
      <c r="AX62" t="s">
        <v>33</v>
      </c>
      <c r="AY62" s="14" t="s">
        <v>33</v>
      </c>
      <c r="AZ62" t="s">
        <v>33</v>
      </c>
      <c r="BA62" s="14" t="s">
        <v>33</v>
      </c>
      <c r="BB62" t="s">
        <v>33</v>
      </c>
      <c r="BC62" s="14" t="s">
        <v>33</v>
      </c>
      <c r="BD62">
        <f t="shared" si="6"/>
        <v>87</v>
      </c>
      <c r="BE62">
        <f t="shared" si="7"/>
        <v>16362</v>
      </c>
      <c r="BF62">
        <f t="shared" si="8"/>
        <v>188.06896551724137</v>
      </c>
    </row>
    <row r="63" spans="1:59" x14ac:dyDescent="0.2">
      <c r="A63" t="s">
        <v>14</v>
      </c>
      <c r="B63" t="s">
        <v>4</v>
      </c>
      <c r="C63" t="s">
        <v>29</v>
      </c>
      <c r="D63" t="s">
        <v>33</v>
      </c>
      <c r="E63" s="14" t="s">
        <v>33</v>
      </c>
      <c r="F63">
        <v>0</v>
      </c>
      <c r="G63" s="14">
        <f t="shared" si="0"/>
        <v>0</v>
      </c>
      <c r="H63">
        <v>32</v>
      </c>
      <c r="I63" s="14">
        <f t="shared" si="1"/>
        <v>5760</v>
      </c>
      <c r="J63">
        <v>5</v>
      </c>
      <c r="K63" s="14">
        <f t="shared" si="2"/>
        <v>930</v>
      </c>
      <c r="L63">
        <v>27</v>
      </c>
      <c r="M63" s="14">
        <f t="shared" si="3"/>
        <v>5184</v>
      </c>
      <c r="N63">
        <v>32</v>
      </c>
      <c r="O63" s="14">
        <f t="shared" si="4"/>
        <v>6336</v>
      </c>
      <c r="P63">
        <v>25</v>
      </c>
      <c r="Q63" s="14">
        <f t="shared" si="5"/>
        <v>5100</v>
      </c>
      <c r="R63">
        <v>5</v>
      </c>
      <c r="S63" s="14">
        <f t="shared" si="9"/>
        <v>1050</v>
      </c>
      <c r="T63">
        <v>3</v>
      </c>
      <c r="U63" s="14">
        <f>T63*216</f>
        <v>648</v>
      </c>
      <c r="V63" t="s">
        <v>33</v>
      </c>
      <c r="W63" s="14" t="s">
        <v>33</v>
      </c>
      <c r="X63" t="s">
        <v>33</v>
      </c>
      <c r="Y63" s="14" t="s">
        <v>33</v>
      </c>
      <c r="Z63" t="s">
        <v>33</v>
      </c>
      <c r="AA63" s="14" t="s">
        <v>33</v>
      </c>
      <c r="AB63" t="s">
        <v>33</v>
      </c>
      <c r="AC63" s="14" t="s">
        <v>33</v>
      </c>
      <c r="AD63" t="s">
        <v>33</v>
      </c>
      <c r="AE63" s="14" t="s">
        <v>33</v>
      </c>
      <c r="AF63" t="s">
        <v>33</v>
      </c>
      <c r="AG63" s="14" t="s">
        <v>33</v>
      </c>
      <c r="AH63" t="s">
        <v>33</v>
      </c>
      <c r="AI63" s="14" t="s">
        <v>33</v>
      </c>
      <c r="AJ63" t="s">
        <v>33</v>
      </c>
      <c r="AK63" s="14" t="s">
        <v>33</v>
      </c>
      <c r="AL63" t="s">
        <v>33</v>
      </c>
      <c r="AM63" s="14" t="s">
        <v>33</v>
      </c>
      <c r="AN63" t="s">
        <v>33</v>
      </c>
      <c r="AO63" s="14" t="s">
        <v>33</v>
      </c>
      <c r="AP63" t="s">
        <v>33</v>
      </c>
      <c r="AQ63" s="14" t="s">
        <v>33</v>
      </c>
      <c r="AR63" t="s">
        <v>33</v>
      </c>
      <c r="AS63" s="14" t="s">
        <v>33</v>
      </c>
      <c r="AT63" t="s">
        <v>33</v>
      </c>
      <c r="AU63" s="14" t="s">
        <v>33</v>
      </c>
      <c r="AV63" t="s">
        <v>33</v>
      </c>
      <c r="AW63" s="14" t="s">
        <v>33</v>
      </c>
      <c r="AX63" t="s">
        <v>33</v>
      </c>
      <c r="AY63" s="14" t="s">
        <v>33</v>
      </c>
      <c r="AZ63" t="s">
        <v>33</v>
      </c>
      <c r="BA63" s="14" t="s">
        <v>33</v>
      </c>
      <c r="BB63" t="s">
        <v>33</v>
      </c>
      <c r="BC63" s="14" t="s">
        <v>33</v>
      </c>
      <c r="BD63">
        <f t="shared" si="6"/>
        <v>129</v>
      </c>
      <c r="BE63">
        <f t="shared" si="7"/>
        <v>25008</v>
      </c>
      <c r="BF63">
        <f t="shared" si="8"/>
        <v>193.86046511627907</v>
      </c>
    </row>
    <row r="64" spans="1:59" x14ac:dyDescent="0.2">
      <c r="A64" t="s">
        <v>14</v>
      </c>
      <c r="B64" t="s">
        <v>4</v>
      </c>
      <c r="C64" t="s">
        <v>30</v>
      </c>
      <c r="D64" t="s">
        <v>33</v>
      </c>
      <c r="E64" s="14" t="s">
        <v>33</v>
      </c>
      <c r="F64">
        <v>1</v>
      </c>
      <c r="G64" s="14">
        <f t="shared" si="0"/>
        <v>174</v>
      </c>
      <c r="H64">
        <v>33</v>
      </c>
      <c r="I64" s="14">
        <f t="shared" si="1"/>
        <v>5940</v>
      </c>
      <c r="J64">
        <v>12</v>
      </c>
      <c r="K64" s="14">
        <f t="shared" si="2"/>
        <v>2232</v>
      </c>
      <c r="L64">
        <v>25</v>
      </c>
      <c r="M64" s="14">
        <f t="shared" si="3"/>
        <v>4800</v>
      </c>
      <c r="N64">
        <v>23</v>
      </c>
      <c r="O64" s="14">
        <f t="shared" si="4"/>
        <v>4554</v>
      </c>
      <c r="P64">
        <v>13</v>
      </c>
      <c r="Q64" s="14">
        <f t="shared" si="5"/>
        <v>2652</v>
      </c>
      <c r="R64">
        <v>6</v>
      </c>
      <c r="S64" s="14">
        <f t="shared" si="9"/>
        <v>1260</v>
      </c>
      <c r="T64">
        <v>2</v>
      </c>
      <c r="U64" s="14">
        <f>T64*216</f>
        <v>432</v>
      </c>
      <c r="V64" t="s">
        <v>33</v>
      </c>
      <c r="W64" s="14" t="s">
        <v>33</v>
      </c>
      <c r="X64" t="s">
        <v>33</v>
      </c>
      <c r="Y64" s="14" t="s">
        <v>33</v>
      </c>
      <c r="Z64" t="s">
        <v>33</v>
      </c>
      <c r="AA64" s="14" t="s">
        <v>33</v>
      </c>
      <c r="AB64" t="s">
        <v>33</v>
      </c>
      <c r="AC64" s="14" t="s">
        <v>33</v>
      </c>
      <c r="AD64" t="s">
        <v>33</v>
      </c>
      <c r="AE64" s="14" t="s">
        <v>33</v>
      </c>
      <c r="AF64" t="s">
        <v>33</v>
      </c>
      <c r="AG64" s="14" t="s">
        <v>33</v>
      </c>
      <c r="AH64" t="s">
        <v>33</v>
      </c>
      <c r="AI64" s="14" t="s">
        <v>33</v>
      </c>
      <c r="AJ64" t="s">
        <v>33</v>
      </c>
      <c r="AK64" s="14" t="s">
        <v>33</v>
      </c>
      <c r="AL64" t="s">
        <v>33</v>
      </c>
      <c r="AM64" s="14" t="s">
        <v>33</v>
      </c>
      <c r="AN64" t="s">
        <v>33</v>
      </c>
      <c r="AO64" s="14" t="s">
        <v>33</v>
      </c>
      <c r="AP64" t="s">
        <v>33</v>
      </c>
      <c r="AQ64" s="14" t="s">
        <v>33</v>
      </c>
      <c r="AR64" t="s">
        <v>33</v>
      </c>
      <c r="AS64" s="14" t="s">
        <v>33</v>
      </c>
      <c r="AT64" t="s">
        <v>33</v>
      </c>
      <c r="AU64" s="14" t="s">
        <v>33</v>
      </c>
      <c r="AV64" t="s">
        <v>33</v>
      </c>
      <c r="AW64" s="14" t="s">
        <v>33</v>
      </c>
      <c r="AX64" t="s">
        <v>33</v>
      </c>
      <c r="AY64" s="14" t="s">
        <v>33</v>
      </c>
      <c r="AZ64" t="s">
        <v>33</v>
      </c>
      <c r="BA64" s="14" t="s">
        <v>33</v>
      </c>
      <c r="BB64" t="s">
        <v>33</v>
      </c>
      <c r="BC64" s="14" t="s">
        <v>33</v>
      </c>
      <c r="BD64">
        <f t="shared" si="6"/>
        <v>115</v>
      </c>
      <c r="BE64">
        <f t="shared" si="7"/>
        <v>22044</v>
      </c>
      <c r="BF64">
        <f t="shared" si="8"/>
        <v>191.68695652173912</v>
      </c>
    </row>
    <row r="65" spans="1:59" x14ac:dyDescent="0.2">
      <c r="A65" t="s">
        <v>14</v>
      </c>
      <c r="B65" t="s">
        <v>5</v>
      </c>
      <c r="C65" t="s">
        <v>29</v>
      </c>
      <c r="D65" t="s">
        <v>33</v>
      </c>
      <c r="E65" s="14" t="s">
        <v>33</v>
      </c>
      <c r="F65">
        <v>0</v>
      </c>
      <c r="G65" s="14">
        <f t="shared" si="0"/>
        <v>0</v>
      </c>
      <c r="H65">
        <v>34</v>
      </c>
      <c r="I65" s="14">
        <f t="shared" si="1"/>
        <v>6120</v>
      </c>
      <c r="J65">
        <v>8</v>
      </c>
      <c r="K65" s="14">
        <f t="shared" si="2"/>
        <v>1488</v>
      </c>
      <c r="L65">
        <v>22</v>
      </c>
      <c r="M65" s="14">
        <f t="shared" si="3"/>
        <v>4224</v>
      </c>
      <c r="N65">
        <v>27</v>
      </c>
      <c r="O65" s="14">
        <f t="shared" si="4"/>
        <v>5346</v>
      </c>
      <c r="P65">
        <v>18</v>
      </c>
      <c r="Q65" s="14">
        <f t="shared" si="5"/>
        <v>3672</v>
      </c>
      <c r="R65">
        <v>7</v>
      </c>
      <c r="S65" s="14">
        <f t="shared" si="9"/>
        <v>1470</v>
      </c>
      <c r="T65">
        <v>3</v>
      </c>
      <c r="U65" s="14">
        <f>T65*216</f>
        <v>648</v>
      </c>
      <c r="V65" t="s">
        <v>33</v>
      </c>
      <c r="W65" s="14" t="s">
        <v>33</v>
      </c>
      <c r="X65" t="s">
        <v>33</v>
      </c>
      <c r="Y65" s="14" t="s">
        <v>33</v>
      </c>
      <c r="Z65">
        <v>1</v>
      </c>
      <c r="AA65" s="14">
        <f>Z65*234</f>
        <v>234</v>
      </c>
      <c r="AB65" t="s">
        <v>33</v>
      </c>
      <c r="AC65" s="14" t="s">
        <v>33</v>
      </c>
      <c r="AD65" t="s">
        <v>33</v>
      </c>
      <c r="AE65" s="14" t="s">
        <v>33</v>
      </c>
      <c r="AF65" t="s">
        <v>33</v>
      </c>
      <c r="AG65" s="14" t="s">
        <v>33</v>
      </c>
      <c r="AH65" t="s">
        <v>33</v>
      </c>
      <c r="AI65" s="14" t="s">
        <v>33</v>
      </c>
      <c r="AJ65">
        <v>0</v>
      </c>
      <c r="AK65" s="14">
        <f>AJ65*264</f>
        <v>0</v>
      </c>
      <c r="AL65" t="s">
        <v>33</v>
      </c>
      <c r="AM65" s="14" t="s">
        <v>33</v>
      </c>
      <c r="AN65" t="s">
        <v>33</v>
      </c>
      <c r="AO65" s="14" t="s">
        <v>33</v>
      </c>
      <c r="AP65" t="s">
        <v>33</v>
      </c>
      <c r="AQ65" s="14" t="s">
        <v>33</v>
      </c>
      <c r="AR65" t="s">
        <v>33</v>
      </c>
      <c r="AS65" s="14" t="s">
        <v>33</v>
      </c>
      <c r="AT65" t="s">
        <v>33</v>
      </c>
      <c r="AU65" s="14" t="s">
        <v>33</v>
      </c>
      <c r="AV65" t="s">
        <v>33</v>
      </c>
      <c r="AW65" s="14" t="s">
        <v>33</v>
      </c>
      <c r="AX65" t="s">
        <v>33</v>
      </c>
      <c r="AY65" s="14" t="s">
        <v>33</v>
      </c>
      <c r="AZ65" t="s">
        <v>33</v>
      </c>
      <c r="BA65" s="14" t="s">
        <v>33</v>
      </c>
      <c r="BB65" t="s">
        <v>33</v>
      </c>
      <c r="BC65" s="14" t="s">
        <v>33</v>
      </c>
      <c r="BD65">
        <f t="shared" si="6"/>
        <v>120</v>
      </c>
      <c r="BE65">
        <f t="shared" si="7"/>
        <v>23202</v>
      </c>
      <c r="BF65">
        <f t="shared" si="8"/>
        <v>193.35</v>
      </c>
      <c r="BG65" t="s">
        <v>32</v>
      </c>
    </row>
    <row r="66" spans="1:59" x14ac:dyDescent="0.2">
      <c r="A66" t="s">
        <v>14</v>
      </c>
      <c r="B66" t="s">
        <v>5</v>
      </c>
      <c r="C66" t="s">
        <v>30</v>
      </c>
      <c r="D66" t="s">
        <v>33</v>
      </c>
      <c r="E66" s="14" t="s">
        <v>33</v>
      </c>
      <c r="F66">
        <v>1</v>
      </c>
      <c r="G66" s="14">
        <f t="shared" si="0"/>
        <v>174</v>
      </c>
      <c r="H66">
        <v>35</v>
      </c>
      <c r="I66" s="14">
        <f t="shared" si="1"/>
        <v>6300</v>
      </c>
      <c r="J66">
        <v>13</v>
      </c>
      <c r="K66" s="14">
        <f t="shared" si="2"/>
        <v>2418</v>
      </c>
      <c r="L66">
        <v>21</v>
      </c>
      <c r="M66" s="14">
        <f t="shared" si="3"/>
        <v>4032</v>
      </c>
      <c r="N66">
        <v>27</v>
      </c>
      <c r="O66" s="14">
        <f t="shared" si="4"/>
        <v>5346</v>
      </c>
      <c r="P66">
        <v>18</v>
      </c>
      <c r="Q66" s="14">
        <f t="shared" si="5"/>
        <v>3672</v>
      </c>
      <c r="R66">
        <v>2</v>
      </c>
      <c r="S66" s="14">
        <f t="shared" si="9"/>
        <v>420</v>
      </c>
      <c r="T66">
        <v>1</v>
      </c>
      <c r="U66" s="14">
        <f>T66*216</f>
        <v>216</v>
      </c>
      <c r="V66" t="s">
        <v>33</v>
      </c>
      <c r="W66" s="14" t="s">
        <v>33</v>
      </c>
      <c r="X66" t="s">
        <v>33</v>
      </c>
      <c r="Y66" s="14" t="s">
        <v>33</v>
      </c>
      <c r="Z66">
        <v>1</v>
      </c>
      <c r="AA66" s="14">
        <f>Z66*234</f>
        <v>234</v>
      </c>
      <c r="AB66" t="s">
        <v>33</v>
      </c>
      <c r="AC66" s="14" t="s">
        <v>33</v>
      </c>
      <c r="AD66" t="s">
        <v>33</v>
      </c>
      <c r="AE66" s="14" t="s">
        <v>33</v>
      </c>
      <c r="AF66" t="s">
        <v>33</v>
      </c>
      <c r="AG66" s="14" t="s">
        <v>33</v>
      </c>
      <c r="AH66" t="s">
        <v>33</v>
      </c>
      <c r="AI66" s="14" t="s">
        <v>33</v>
      </c>
      <c r="AJ66">
        <v>0</v>
      </c>
      <c r="AK66" s="14">
        <f>AJ66*264</f>
        <v>0</v>
      </c>
      <c r="AL66" t="s">
        <v>33</v>
      </c>
      <c r="AM66" s="14" t="s">
        <v>33</v>
      </c>
      <c r="AN66" t="s">
        <v>33</v>
      </c>
      <c r="AO66" s="14" t="s">
        <v>33</v>
      </c>
      <c r="AP66" t="s">
        <v>33</v>
      </c>
      <c r="AQ66" s="14" t="s">
        <v>33</v>
      </c>
      <c r="AR66" t="s">
        <v>33</v>
      </c>
      <c r="AS66" s="14" t="s">
        <v>33</v>
      </c>
      <c r="AT66" t="s">
        <v>33</v>
      </c>
      <c r="AU66" s="14" t="s">
        <v>33</v>
      </c>
      <c r="AV66" t="s">
        <v>33</v>
      </c>
      <c r="AW66" s="14" t="s">
        <v>33</v>
      </c>
      <c r="AX66" t="s">
        <v>33</v>
      </c>
      <c r="AY66" s="14" t="s">
        <v>33</v>
      </c>
      <c r="AZ66" t="s">
        <v>33</v>
      </c>
      <c r="BA66" s="14" t="s">
        <v>33</v>
      </c>
      <c r="BB66" t="s">
        <v>33</v>
      </c>
      <c r="BC66" s="14" t="s">
        <v>33</v>
      </c>
      <c r="BD66">
        <f t="shared" si="6"/>
        <v>119</v>
      </c>
      <c r="BE66">
        <f t="shared" si="7"/>
        <v>22812</v>
      </c>
      <c r="BF66">
        <f t="shared" si="8"/>
        <v>191.69747899159663</v>
      </c>
    </row>
    <row r="67" spans="1:59" x14ac:dyDescent="0.2">
      <c r="A67" t="s">
        <v>14</v>
      </c>
      <c r="B67" t="s">
        <v>6</v>
      </c>
      <c r="C67" t="s">
        <v>29</v>
      </c>
      <c r="D67" t="s">
        <v>33</v>
      </c>
      <c r="E67" s="14" t="s">
        <v>33</v>
      </c>
      <c r="F67" t="s">
        <v>33</v>
      </c>
      <c r="G67" s="14" t="s">
        <v>33</v>
      </c>
      <c r="H67">
        <v>36</v>
      </c>
      <c r="I67" s="14">
        <f t="shared" si="1"/>
        <v>6480</v>
      </c>
      <c r="J67">
        <v>1</v>
      </c>
      <c r="K67" s="14">
        <f t="shared" si="2"/>
        <v>186</v>
      </c>
      <c r="L67">
        <v>14</v>
      </c>
      <c r="M67" s="14">
        <f t="shared" si="3"/>
        <v>2688</v>
      </c>
      <c r="N67">
        <v>25</v>
      </c>
      <c r="O67" s="14">
        <f t="shared" si="4"/>
        <v>4950</v>
      </c>
      <c r="P67">
        <v>25</v>
      </c>
      <c r="Q67" s="14">
        <f t="shared" si="5"/>
        <v>5100</v>
      </c>
      <c r="R67">
        <v>10</v>
      </c>
      <c r="S67" s="14">
        <f t="shared" si="9"/>
        <v>2100</v>
      </c>
      <c r="T67">
        <v>2</v>
      </c>
      <c r="U67" s="14">
        <f>T67*216</f>
        <v>432</v>
      </c>
      <c r="V67" t="s">
        <v>33</v>
      </c>
      <c r="W67" s="14" t="s">
        <v>33</v>
      </c>
      <c r="X67">
        <v>3</v>
      </c>
      <c r="Y67" s="14">
        <f>X67*228</f>
        <v>684</v>
      </c>
      <c r="Z67">
        <v>2</v>
      </c>
      <c r="AA67" s="14">
        <f>Z67*234</f>
        <v>468</v>
      </c>
      <c r="AB67" t="s">
        <v>33</v>
      </c>
      <c r="AC67" s="14" t="s">
        <v>33</v>
      </c>
      <c r="AD67" t="s">
        <v>33</v>
      </c>
      <c r="AE67" s="14" t="s">
        <v>33</v>
      </c>
      <c r="AF67" t="s">
        <v>33</v>
      </c>
      <c r="AG67" s="14" t="s">
        <v>33</v>
      </c>
      <c r="AH67" t="s">
        <v>33</v>
      </c>
      <c r="AI67" s="14" t="s">
        <v>33</v>
      </c>
      <c r="AJ67">
        <v>1</v>
      </c>
      <c r="AK67" s="14">
        <f>AJ67*264</f>
        <v>264</v>
      </c>
      <c r="AL67" t="s">
        <v>33</v>
      </c>
      <c r="AM67" s="14" t="s">
        <v>33</v>
      </c>
      <c r="AN67" t="s">
        <v>33</v>
      </c>
      <c r="AO67" s="14" t="s">
        <v>33</v>
      </c>
      <c r="AP67" t="s">
        <v>33</v>
      </c>
      <c r="AQ67" s="14" t="s">
        <v>33</v>
      </c>
      <c r="AR67" t="s">
        <v>33</v>
      </c>
      <c r="AS67" s="14" t="s">
        <v>33</v>
      </c>
      <c r="AT67">
        <v>1</v>
      </c>
      <c r="AU67" s="14">
        <f>AT67*294</f>
        <v>294</v>
      </c>
      <c r="AV67" t="s">
        <v>33</v>
      </c>
      <c r="AW67" s="14" t="s">
        <v>33</v>
      </c>
      <c r="AX67" t="s">
        <v>33</v>
      </c>
      <c r="AY67" s="14" t="s">
        <v>33</v>
      </c>
      <c r="AZ67" t="s">
        <v>33</v>
      </c>
      <c r="BA67" s="14" t="s">
        <v>33</v>
      </c>
      <c r="BB67" t="s">
        <v>33</v>
      </c>
      <c r="BC67" s="14" t="s">
        <v>33</v>
      </c>
      <c r="BD67">
        <f t="shared" si="6"/>
        <v>120</v>
      </c>
      <c r="BE67">
        <f t="shared" si="7"/>
        <v>23646</v>
      </c>
      <c r="BF67">
        <f t="shared" si="8"/>
        <v>197.05</v>
      </c>
      <c r="BG67" t="s">
        <v>67</v>
      </c>
    </row>
    <row r="68" spans="1:59" x14ac:dyDescent="0.2">
      <c r="A68" t="s">
        <v>14</v>
      </c>
      <c r="B68" t="s">
        <v>6</v>
      </c>
      <c r="C68" t="s">
        <v>30</v>
      </c>
      <c r="D68" t="s">
        <v>33</v>
      </c>
      <c r="E68" s="14" t="s">
        <v>33</v>
      </c>
      <c r="F68" t="s">
        <v>33</v>
      </c>
      <c r="G68" s="14" t="s">
        <v>33</v>
      </c>
      <c r="H68">
        <v>37</v>
      </c>
      <c r="I68" s="14">
        <f t="shared" ref="I68:I123" si="13">H68*180</f>
        <v>6660</v>
      </c>
      <c r="J68">
        <v>6</v>
      </c>
      <c r="K68" s="14">
        <f t="shared" ref="K68:K131" si="14">J68*186</f>
        <v>1116</v>
      </c>
      <c r="L68">
        <v>24</v>
      </c>
      <c r="M68" s="14">
        <f t="shared" ref="M68:M131" si="15">L68*192</f>
        <v>4608</v>
      </c>
      <c r="N68">
        <v>29</v>
      </c>
      <c r="O68" s="14">
        <f t="shared" ref="O68:O131" si="16">N68*198</f>
        <v>5742</v>
      </c>
      <c r="P68">
        <v>21</v>
      </c>
      <c r="Q68" s="14">
        <f t="shared" ref="Q68:Q131" si="17">P68*204</f>
        <v>4284</v>
      </c>
      <c r="R68">
        <v>8</v>
      </c>
      <c r="S68" s="14">
        <f t="shared" ref="S68:S131" si="18">R68*210</f>
        <v>1680</v>
      </c>
      <c r="T68">
        <v>5</v>
      </c>
      <c r="U68" s="14">
        <f t="shared" ref="U68:U131" si="19">T68*216</f>
        <v>1080</v>
      </c>
      <c r="V68" t="s">
        <v>33</v>
      </c>
      <c r="W68" s="14" t="s">
        <v>33</v>
      </c>
      <c r="X68">
        <v>0</v>
      </c>
      <c r="Y68" s="14">
        <f>X68*228</f>
        <v>0</v>
      </c>
      <c r="Z68">
        <v>0</v>
      </c>
      <c r="AA68" s="14">
        <f t="shared" ref="AA68:AA131" si="20">Z68*234</f>
        <v>0</v>
      </c>
      <c r="AB68" t="s">
        <v>33</v>
      </c>
      <c r="AC68" s="14" t="s">
        <v>33</v>
      </c>
      <c r="AD68" t="s">
        <v>33</v>
      </c>
      <c r="AE68" s="14" t="s">
        <v>33</v>
      </c>
      <c r="AF68" t="s">
        <v>33</v>
      </c>
      <c r="AG68" s="14" t="s">
        <v>33</v>
      </c>
      <c r="AH68" t="s">
        <v>33</v>
      </c>
      <c r="AI68" s="14" t="s">
        <v>33</v>
      </c>
      <c r="AJ68">
        <v>1</v>
      </c>
      <c r="AK68" s="14">
        <f>AJ68*264</f>
        <v>264</v>
      </c>
      <c r="AL68" t="s">
        <v>33</v>
      </c>
      <c r="AM68" s="14" t="s">
        <v>33</v>
      </c>
      <c r="AN68" t="s">
        <v>33</v>
      </c>
      <c r="AO68" s="14" t="s">
        <v>33</v>
      </c>
      <c r="AP68" t="s">
        <v>33</v>
      </c>
      <c r="AQ68" s="14" t="s">
        <v>33</v>
      </c>
      <c r="AR68" t="s">
        <v>33</v>
      </c>
      <c r="AS68" s="14" t="s">
        <v>33</v>
      </c>
      <c r="AT68">
        <v>0</v>
      </c>
      <c r="AU68" s="14">
        <f>AT68*294</f>
        <v>0</v>
      </c>
      <c r="AV68" t="s">
        <v>33</v>
      </c>
      <c r="AW68" s="14" t="s">
        <v>33</v>
      </c>
      <c r="AX68" t="s">
        <v>33</v>
      </c>
      <c r="AY68" s="14" t="s">
        <v>33</v>
      </c>
      <c r="AZ68" t="s">
        <v>33</v>
      </c>
      <c r="BA68" s="14" t="s">
        <v>33</v>
      </c>
      <c r="BB68" t="s">
        <v>33</v>
      </c>
      <c r="BC68" s="14" t="s">
        <v>33</v>
      </c>
      <c r="BD68">
        <f t="shared" ref="BD68:BD131" si="21">SUM(D68,F68,H68,J68,L68,N68,P68,R68,T68,V68,X68,Z68,AB68,AD68,AF68,AH68,AJ68,AL68,AN68,AP68,AR68,AT68,AV68,AX68,AZ68,BB68)</f>
        <v>131</v>
      </c>
      <c r="BE68">
        <f t="shared" ref="BE68:BE131" si="22">SUM(E68,G68,I68,K68,M68,O68,Q68,S68,U68,W68,Y68,AA68,AC68,AE68,AG68,AI68,AK68,AM68,AO68,AQ68,AS68,AU68,AW68,AY68,BA68,BC68)</f>
        <v>25434</v>
      </c>
      <c r="BF68">
        <f t="shared" ref="BF68:BF131" si="23">BE68/BD68</f>
        <v>194.15267175572518</v>
      </c>
    </row>
    <row r="69" spans="1:59" x14ac:dyDescent="0.2">
      <c r="A69" t="s">
        <v>14</v>
      </c>
      <c r="B69" t="s">
        <v>7</v>
      </c>
      <c r="C69" t="s">
        <v>29</v>
      </c>
      <c r="D69" t="s">
        <v>33</v>
      </c>
      <c r="E69" s="14" t="s">
        <v>33</v>
      </c>
      <c r="F69">
        <v>0</v>
      </c>
      <c r="G69" s="14">
        <f t="shared" ref="G69:G102" si="24">F69*174</f>
        <v>0</v>
      </c>
      <c r="H69">
        <v>38</v>
      </c>
      <c r="I69" s="14">
        <f t="shared" si="13"/>
        <v>6840</v>
      </c>
      <c r="J69">
        <v>10</v>
      </c>
      <c r="K69" s="14">
        <f t="shared" si="14"/>
        <v>1860</v>
      </c>
      <c r="L69">
        <v>26</v>
      </c>
      <c r="M69" s="14">
        <f t="shared" si="15"/>
        <v>4992</v>
      </c>
      <c r="N69">
        <v>28</v>
      </c>
      <c r="O69" s="14">
        <f t="shared" si="16"/>
        <v>5544</v>
      </c>
      <c r="P69">
        <v>19</v>
      </c>
      <c r="Q69" s="14">
        <f t="shared" si="17"/>
        <v>3876</v>
      </c>
      <c r="R69">
        <v>9</v>
      </c>
      <c r="S69" s="14">
        <f t="shared" si="18"/>
        <v>1890</v>
      </c>
      <c r="T69">
        <v>3</v>
      </c>
      <c r="U69" s="14">
        <f t="shared" si="19"/>
        <v>648</v>
      </c>
      <c r="V69" t="s">
        <v>33</v>
      </c>
      <c r="W69" s="14" t="s">
        <v>33</v>
      </c>
      <c r="X69">
        <v>1</v>
      </c>
      <c r="Y69" s="14">
        <f>X69*228</f>
        <v>228</v>
      </c>
      <c r="Z69">
        <v>0</v>
      </c>
      <c r="AA69" s="14">
        <f t="shared" si="20"/>
        <v>0</v>
      </c>
      <c r="AB69" t="s">
        <v>33</v>
      </c>
      <c r="AC69" s="14" t="s">
        <v>33</v>
      </c>
      <c r="AD69" t="s">
        <v>33</v>
      </c>
      <c r="AE69" s="14" t="s">
        <v>33</v>
      </c>
      <c r="AF69" t="s">
        <v>33</v>
      </c>
      <c r="AG69" s="14" t="s">
        <v>33</v>
      </c>
      <c r="AH69" t="s">
        <v>33</v>
      </c>
      <c r="AI69" s="14" t="s">
        <v>33</v>
      </c>
      <c r="AJ69" t="s">
        <v>33</v>
      </c>
      <c r="AK69" s="14" t="s">
        <v>33</v>
      </c>
      <c r="AL69" t="s">
        <v>33</v>
      </c>
      <c r="AM69" s="14" t="s">
        <v>33</v>
      </c>
      <c r="AN69" t="s">
        <v>33</v>
      </c>
      <c r="AO69" s="14" t="s">
        <v>33</v>
      </c>
      <c r="AP69" t="s">
        <v>33</v>
      </c>
      <c r="AQ69" s="14" t="s">
        <v>33</v>
      </c>
      <c r="AR69" t="s">
        <v>33</v>
      </c>
      <c r="AS69" s="14" t="s">
        <v>33</v>
      </c>
      <c r="AT69" t="s">
        <v>33</v>
      </c>
      <c r="AU69" s="14" t="s">
        <v>33</v>
      </c>
      <c r="AV69" t="s">
        <v>33</v>
      </c>
      <c r="AW69" s="14" t="s">
        <v>33</v>
      </c>
      <c r="AX69" t="s">
        <v>33</v>
      </c>
      <c r="AY69" s="14" t="s">
        <v>33</v>
      </c>
      <c r="AZ69" t="s">
        <v>33</v>
      </c>
      <c r="BA69" s="14" t="s">
        <v>33</v>
      </c>
      <c r="BB69" t="s">
        <v>33</v>
      </c>
      <c r="BC69" s="14" t="s">
        <v>33</v>
      </c>
      <c r="BD69">
        <f t="shared" si="21"/>
        <v>134</v>
      </c>
      <c r="BE69">
        <f t="shared" si="22"/>
        <v>25878</v>
      </c>
      <c r="BF69">
        <f t="shared" si="23"/>
        <v>193.11940298507463</v>
      </c>
    </row>
    <row r="70" spans="1:59" x14ac:dyDescent="0.2">
      <c r="A70" t="s">
        <v>14</v>
      </c>
      <c r="B70" t="s">
        <v>7</v>
      </c>
      <c r="C70" t="s">
        <v>30</v>
      </c>
      <c r="D70" t="s">
        <v>33</v>
      </c>
      <c r="E70" s="14" t="s">
        <v>33</v>
      </c>
      <c r="F70">
        <v>1</v>
      </c>
      <c r="G70" s="14">
        <f t="shared" si="24"/>
        <v>174</v>
      </c>
      <c r="H70">
        <v>39</v>
      </c>
      <c r="I70" s="14">
        <f t="shared" si="13"/>
        <v>7020</v>
      </c>
      <c r="J70">
        <v>9</v>
      </c>
      <c r="K70" s="14">
        <f t="shared" si="14"/>
        <v>1674</v>
      </c>
      <c r="L70">
        <v>22</v>
      </c>
      <c r="M70" s="14">
        <f t="shared" si="15"/>
        <v>4224</v>
      </c>
      <c r="N70">
        <v>22</v>
      </c>
      <c r="O70" s="14">
        <f t="shared" si="16"/>
        <v>4356</v>
      </c>
      <c r="P70">
        <v>16</v>
      </c>
      <c r="Q70" s="14">
        <f t="shared" si="17"/>
        <v>3264</v>
      </c>
      <c r="R70">
        <v>8</v>
      </c>
      <c r="S70" s="14">
        <f t="shared" si="18"/>
        <v>1680</v>
      </c>
      <c r="T70">
        <v>6</v>
      </c>
      <c r="U70" s="14">
        <f t="shared" si="19"/>
        <v>1296</v>
      </c>
      <c r="V70" t="s">
        <v>33</v>
      </c>
      <c r="W70" s="14" t="s">
        <v>33</v>
      </c>
      <c r="X70">
        <v>0</v>
      </c>
      <c r="Y70" s="14">
        <f>X70*228</f>
        <v>0</v>
      </c>
      <c r="Z70">
        <v>1</v>
      </c>
      <c r="AA70" s="14">
        <f t="shared" si="20"/>
        <v>234</v>
      </c>
      <c r="AB70" t="s">
        <v>33</v>
      </c>
      <c r="AC70" s="14" t="s">
        <v>33</v>
      </c>
      <c r="AD70" t="s">
        <v>33</v>
      </c>
      <c r="AE70" s="14" t="s">
        <v>33</v>
      </c>
      <c r="AF70" t="s">
        <v>33</v>
      </c>
      <c r="AG70" s="14" t="s">
        <v>33</v>
      </c>
      <c r="AH70" t="s">
        <v>33</v>
      </c>
      <c r="AI70" s="14" t="s">
        <v>33</v>
      </c>
      <c r="AJ70" t="s">
        <v>33</v>
      </c>
      <c r="AK70" s="14" t="s">
        <v>33</v>
      </c>
      <c r="AL70" t="s">
        <v>33</v>
      </c>
      <c r="AM70" s="14" t="s">
        <v>33</v>
      </c>
      <c r="AN70" t="s">
        <v>33</v>
      </c>
      <c r="AO70" s="14" t="s">
        <v>33</v>
      </c>
      <c r="AP70" t="s">
        <v>33</v>
      </c>
      <c r="AQ70" s="14" t="s">
        <v>33</v>
      </c>
      <c r="AR70" t="s">
        <v>33</v>
      </c>
      <c r="AS70" s="14" t="s">
        <v>33</v>
      </c>
      <c r="AT70" t="s">
        <v>33</v>
      </c>
      <c r="AU70" s="14" t="s">
        <v>33</v>
      </c>
      <c r="AV70" t="s">
        <v>33</v>
      </c>
      <c r="AW70" s="14" t="s">
        <v>33</v>
      </c>
      <c r="AX70" t="s">
        <v>33</v>
      </c>
      <c r="AY70" s="14" t="s">
        <v>33</v>
      </c>
      <c r="AZ70" t="s">
        <v>33</v>
      </c>
      <c r="BA70" s="14" t="s">
        <v>33</v>
      </c>
      <c r="BB70" t="s">
        <v>33</v>
      </c>
      <c r="BC70" s="14" t="s">
        <v>33</v>
      </c>
      <c r="BD70">
        <f t="shared" si="21"/>
        <v>124</v>
      </c>
      <c r="BE70">
        <f t="shared" si="22"/>
        <v>23922</v>
      </c>
      <c r="BF70">
        <f t="shared" si="23"/>
        <v>192.91935483870967</v>
      </c>
    </row>
    <row r="71" spans="1:59" x14ac:dyDescent="0.2">
      <c r="A71" t="s">
        <v>14</v>
      </c>
      <c r="B71" t="s">
        <v>8</v>
      </c>
      <c r="C71" t="s">
        <v>29</v>
      </c>
      <c r="D71" t="s">
        <v>33</v>
      </c>
      <c r="E71" s="14" t="s">
        <v>33</v>
      </c>
      <c r="F71" t="s">
        <v>33</v>
      </c>
      <c r="G71" s="14" t="s">
        <v>33</v>
      </c>
      <c r="H71">
        <v>40</v>
      </c>
      <c r="I71" s="14">
        <f t="shared" si="13"/>
        <v>7200</v>
      </c>
      <c r="J71">
        <v>8</v>
      </c>
      <c r="K71" s="14">
        <f t="shared" si="14"/>
        <v>1488</v>
      </c>
      <c r="L71">
        <v>28</v>
      </c>
      <c r="M71" s="14">
        <f t="shared" si="15"/>
        <v>5376</v>
      </c>
      <c r="N71">
        <v>20</v>
      </c>
      <c r="O71" s="14">
        <f t="shared" si="16"/>
        <v>3960</v>
      </c>
      <c r="P71">
        <v>5</v>
      </c>
      <c r="Q71" s="14">
        <f t="shared" si="17"/>
        <v>1020</v>
      </c>
      <c r="R71">
        <v>1</v>
      </c>
      <c r="S71" s="14">
        <f t="shared" si="18"/>
        <v>210</v>
      </c>
      <c r="T71">
        <v>1</v>
      </c>
      <c r="U71" s="14">
        <f t="shared" si="19"/>
        <v>216</v>
      </c>
      <c r="V71" t="s">
        <v>33</v>
      </c>
      <c r="W71" s="14" t="s">
        <v>33</v>
      </c>
      <c r="X71" t="s">
        <v>33</v>
      </c>
      <c r="Y71" s="14" t="s">
        <v>33</v>
      </c>
      <c r="Z71" t="s">
        <v>33</v>
      </c>
      <c r="AA71" s="14" t="s">
        <v>33</v>
      </c>
      <c r="AB71" t="s">
        <v>33</v>
      </c>
      <c r="AC71" s="14" t="s">
        <v>33</v>
      </c>
      <c r="AD71" t="s">
        <v>33</v>
      </c>
      <c r="AE71" s="14" t="s">
        <v>33</v>
      </c>
      <c r="AF71" t="s">
        <v>33</v>
      </c>
      <c r="AG71" s="14" t="s">
        <v>33</v>
      </c>
      <c r="AH71" t="s">
        <v>33</v>
      </c>
      <c r="AI71" s="14" t="s">
        <v>33</v>
      </c>
      <c r="AJ71" t="s">
        <v>33</v>
      </c>
      <c r="AK71" s="14" t="s">
        <v>33</v>
      </c>
      <c r="AL71" t="s">
        <v>33</v>
      </c>
      <c r="AM71" s="14" t="s">
        <v>33</v>
      </c>
      <c r="AN71" t="s">
        <v>33</v>
      </c>
      <c r="AO71" s="14" t="s">
        <v>33</v>
      </c>
      <c r="AP71" t="s">
        <v>33</v>
      </c>
      <c r="AQ71" s="14" t="s">
        <v>33</v>
      </c>
      <c r="AR71" t="s">
        <v>33</v>
      </c>
      <c r="AS71" s="14" t="s">
        <v>33</v>
      </c>
      <c r="AT71" t="s">
        <v>33</v>
      </c>
      <c r="AU71" s="14" t="s">
        <v>33</v>
      </c>
      <c r="AV71" t="s">
        <v>33</v>
      </c>
      <c r="AW71" s="14" t="s">
        <v>33</v>
      </c>
      <c r="AX71" t="s">
        <v>33</v>
      </c>
      <c r="AY71" s="14" t="s">
        <v>33</v>
      </c>
      <c r="AZ71" t="s">
        <v>33</v>
      </c>
      <c r="BA71" s="14" t="s">
        <v>33</v>
      </c>
      <c r="BB71" t="s">
        <v>33</v>
      </c>
      <c r="BC71" s="14" t="s">
        <v>33</v>
      </c>
      <c r="BD71">
        <f t="shared" si="21"/>
        <v>103</v>
      </c>
      <c r="BE71">
        <f t="shared" si="22"/>
        <v>19470</v>
      </c>
      <c r="BF71">
        <f t="shared" si="23"/>
        <v>189.02912621359224</v>
      </c>
    </row>
    <row r="72" spans="1:59" x14ac:dyDescent="0.2">
      <c r="A72" t="s">
        <v>14</v>
      </c>
      <c r="B72" t="s">
        <v>8</v>
      </c>
      <c r="C72" t="s">
        <v>30</v>
      </c>
      <c r="D72" t="s">
        <v>33</v>
      </c>
      <c r="E72" s="14" t="s">
        <v>33</v>
      </c>
      <c r="F72" t="s">
        <v>33</v>
      </c>
      <c r="G72" s="14" t="s">
        <v>33</v>
      </c>
      <c r="H72">
        <v>41</v>
      </c>
      <c r="I72" s="14">
        <f t="shared" si="13"/>
        <v>7380</v>
      </c>
      <c r="J72">
        <v>15</v>
      </c>
      <c r="K72" s="14">
        <f t="shared" si="14"/>
        <v>2790</v>
      </c>
      <c r="L72">
        <v>23</v>
      </c>
      <c r="M72" s="14">
        <f t="shared" si="15"/>
        <v>4416</v>
      </c>
      <c r="N72">
        <v>8</v>
      </c>
      <c r="O72" s="14">
        <f t="shared" si="16"/>
        <v>1584</v>
      </c>
      <c r="P72">
        <v>3</v>
      </c>
      <c r="Q72" s="14">
        <f t="shared" si="17"/>
        <v>612</v>
      </c>
      <c r="R72">
        <v>0</v>
      </c>
      <c r="S72" s="14">
        <f t="shared" si="18"/>
        <v>0</v>
      </c>
      <c r="T72">
        <v>0</v>
      </c>
      <c r="U72" s="14">
        <f t="shared" si="19"/>
        <v>0</v>
      </c>
      <c r="V72" t="s">
        <v>33</v>
      </c>
      <c r="W72" s="14" t="s">
        <v>33</v>
      </c>
      <c r="X72" t="s">
        <v>33</v>
      </c>
      <c r="Y72" s="14" t="s">
        <v>33</v>
      </c>
      <c r="Z72" t="s">
        <v>33</v>
      </c>
      <c r="AA72" s="14" t="s">
        <v>33</v>
      </c>
      <c r="AB72" t="s">
        <v>33</v>
      </c>
      <c r="AC72" s="14" t="s">
        <v>33</v>
      </c>
      <c r="AD72" t="s">
        <v>33</v>
      </c>
      <c r="AE72" s="14" t="s">
        <v>33</v>
      </c>
      <c r="AF72" t="s">
        <v>33</v>
      </c>
      <c r="AG72" s="14" t="s">
        <v>33</v>
      </c>
      <c r="AH72" t="s">
        <v>33</v>
      </c>
      <c r="AI72" s="14" t="s">
        <v>33</v>
      </c>
      <c r="AJ72" t="s">
        <v>33</v>
      </c>
      <c r="AK72" s="14" t="s">
        <v>33</v>
      </c>
      <c r="AL72" t="s">
        <v>33</v>
      </c>
      <c r="AM72" s="14" t="s">
        <v>33</v>
      </c>
      <c r="AN72" t="s">
        <v>33</v>
      </c>
      <c r="AO72" s="14" t="s">
        <v>33</v>
      </c>
      <c r="AP72" t="s">
        <v>33</v>
      </c>
      <c r="AQ72" s="14" t="s">
        <v>33</v>
      </c>
      <c r="AR72" t="s">
        <v>33</v>
      </c>
      <c r="AS72" s="14" t="s">
        <v>33</v>
      </c>
      <c r="AT72" t="s">
        <v>33</v>
      </c>
      <c r="AU72" s="14" t="s">
        <v>33</v>
      </c>
      <c r="AV72" t="s">
        <v>33</v>
      </c>
      <c r="AW72" s="14" t="s">
        <v>33</v>
      </c>
      <c r="AX72" t="s">
        <v>33</v>
      </c>
      <c r="AY72" s="14" t="s">
        <v>33</v>
      </c>
      <c r="AZ72" t="s">
        <v>33</v>
      </c>
      <c r="BA72" s="14" t="s">
        <v>33</v>
      </c>
      <c r="BB72" t="s">
        <v>33</v>
      </c>
      <c r="BC72" s="14" t="s">
        <v>33</v>
      </c>
      <c r="BD72">
        <f t="shared" si="21"/>
        <v>90</v>
      </c>
      <c r="BE72">
        <f t="shared" si="22"/>
        <v>16782</v>
      </c>
      <c r="BF72">
        <f t="shared" si="23"/>
        <v>186.46666666666667</v>
      </c>
    </row>
    <row r="73" spans="1:59" x14ac:dyDescent="0.2">
      <c r="A73" t="s">
        <v>15</v>
      </c>
      <c r="B73" t="s">
        <v>4</v>
      </c>
      <c r="C73" t="s">
        <v>29</v>
      </c>
      <c r="D73">
        <v>0</v>
      </c>
      <c r="E73" s="14">
        <v>0</v>
      </c>
      <c r="F73">
        <v>1</v>
      </c>
      <c r="G73" s="14">
        <f t="shared" si="24"/>
        <v>174</v>
      </c>
      <c r="H73">
        <v>42</v>
      </c>
      <c r="I73" s="14">
        <f t="shared" si="13"/>
        <v>7560</v>
      </c>
      <c r="J73">
        <v>32</v>
      </c>
      <c r="K73" s="14">
        <f t="shared" si="14"/>
        <v>5952</v>
      </c>
      <c r="L73">
        <v>8</v>
      </c>
      <c r="M73" s="14">
        <f t="shared" si="15"/>
        <v>1536</v>
      </c>
      <c r="N73">
        <v>2</v>
      </c>
      <c r="O73" s="14">
        <f t="shared" si="16"/>
        <v>396</v>
      </c>
      <c r="P73" t="s">
        <v>33</v>
      </c>
      <c r="Q73" s="14" t="s">
        <v>33</v>
      </c>
      <c r="R73" t="s">
        <v>33</v>
      </c>
      <c r="S73" s="14" t="s">
        <v>33</v>
      </c>
      <c r="T73" t="s">
        <v>33</v>
      </c>
      <c r="U73" s="14" t="s">
        <v>33</v>
      </c>
      <c r="V73" t="s">
        <v>33</v>
      </c>
      <c r="W73" s="14" t="s">
        <v>33</v>
      </c>
      <c r="X73" t="s">
        <v>33</v>
      </c>
      <c r="Y73" s="14" t="s">
        <v>33</v>
      </c>
      <c r="Z73" t="s">
        <v>33</v>
      </c>
      <c r="AA73" s="14" t="s">
        <v>33</v>
      </c>
      <c r="AB73" t="s">
        <v>33</v>
      </c>
      <c r="AC73" s="14" t="s">
        <v>33</v>
      </c>
      <c r="AD73" t="s">
        <v>33</v>
      </c>
      <c r="AE73" s="14" t="s">
        <v>33</v>
      </c>
      <c r="AF73" t="s">
        <v>33</v>
      </c>
      <c r="AG73" s="14" t="s">
        <v>33</v>
      </c>
      <c r="AH73" t="s">
        <v>33</v>
      </c>
      <c r="AI73" s="14" t="s">
        <v>33</v>
      </c>
      <c r="AJ73" t="s">
        <v>33</v>
      </c>
      <c r="AK73" s="14" t="s">
        <v>33</v>
      </c>
      <c r="AL73" t="s">
        <v>33</v>
      </c>
      <c r="AM73" s="14" t="s">
        <v>33</v>
      </c>
      <c r="AN73" t="s">
        <v>33</v>
      </c>
      <c r="AO73" s="14" t="s">
        <v>33</v>
      </c>
      <c r="AP73" t="s">
        <v>33</v>
      </c>
      <c r="AQ73" s="14" t="s">
        <v>33</v>
      </c>
      <c r="AR73" t="s">
        <v>33</v>
      </c>
      <c r="AS73" s="14" t="s">
        <v>33</v>
      </c>
      <c r="AT73" t="s">
        <v>33</v>
      </c>
      <c r="AU73" s="14" t="s">
        <v>33</v>
      </c>
      <c r="AV73" t="s">
        <v>33</v>
      </c>
      <c r="AW73" s="14" t="s">
        <v>33</v>
      </c>
      <c r="AX73" t="s">
        <v>33</v>
      </c>
      <c r="AY73" s="14" t="s">
        <v>33</v>
      </c>
      <c r="AZ73" t="s">
        <v>33</v>
      </c>
      <c r="BA73" s="14" t="s">
        <v>33</v>
      </c>
      <c r="BB73" t="s">
        <v>33</v>
      </c>
      <c r="BC73" s="14" t="s">
        <v>33</v>
      </c>
      <c r="BD73">
        <f t="shared" si="21"/>
        <v>85</v>
      </c>
      <c r="BE73">
        <f t="shared" si="22"/>
        <v>15618</v>
      </c>
      <c r="BF73">
        <f t="shared" si="23"/>
        <v>183.74117647058824</v>
      </c>
    </row>
    <row r="74" spans="1:59" x14ac:dyDescent="0.2">
      <c r="A74" t="s">
        <v>15</v>
      </c>
      <c r="B74" t="s">
        <v>4</v>
      </c>
      <c r="C74" t="s">
        <v>30</v>
      </c>
      <c r="D74">
        <v>1</v>
      </c>
      <c r="E74" s="14">
        <v>168</v>
      </c>
      <c r="F74">
        <v>6</v>
      </c>
      <c r="G74" s="14">
        <f t="shared" si="24"/>
        <v>1044</v>
      </c>
      <c r="H74">
        <v>43</v>
      </c>
      <c r="I74" s="14">
        <f t="shared" si="13"/>
        <v>7740</v>
      </c>
      <c r="J74">
        <v>12</v>
      </c>
      <c r="K74" s="14">
        <f t="shared" si="14"/>
        <v>2232</v>
      </c>
      <c r="L74">
        <v>1</v>
      </c>
      <c r="M74" s="14">
        <f t="shared" si="15"/>
        <v>192</v>
      </c>
      <c r="N74">
        <v>1</v>
      </c>
      <c r="O74" s="14">
        <f t="shared" si="16"/>
        <v>198</v>
      </c>
      <c r="P74" t="s">
        <v>33</v>
      </c>
      <c r="Q74" s="14" t="s">
        <v>33</v>
      </c>
      <c r="R74" t="s">
        <v>33</v>
      </c>
      <c r="S74" s="14" t="s">
        <v>33</v>
      </c>
      <c r="T74" t="s">
        <v>33</v>
      </c>
      <c r="U74" s="14" t="s">
        <v>33</v>
      </c>
      <c r="V74" t="s">
        <v>33</v>
      </c>
      <c r="W74" s="14" t="s">
        <v>33</v>
      </c>
      <c r="X74" t="s">
        <v>33</v>
      </c>
      <c r="Y74" s="14" t="s">
        <v>33</v>
      </c>
      <c r="Z74" t="s">
        <v>33</v>
      </c>
      <c r="AA74" s="14" t="s">
        <v>33</v>
      </c>
      <c r="AB74" t="s">
        <v>33</v>
      </c>
      <c r="AC74" s="14" t="s">
        <v>33</v>
      </c>
      <c r="AD74" t="s">
        <v>33</v>
      </c>
      <c r="AE74" s="14" t="s">
        <v>33</v>
      </c>
      <c r="AF74" t="s">
        <v>33</v>
      </c>
      <c r="AG74" s="14" t="s">
        <v>33</v>
      </c>
      <c r="AH74" t="s">
        <v>33</v>
      </c>
      <c r="AI74" s="14" t="s">
        <v>33</v>
      </c>
      <c r="AJ74" t="s">
        <v>33</v>
      </c>
      <c r="AK74" s="14" t="s">
        <v>33</v>
      </c>
      <c r="AL74" t="s">
        <v>33</v>
      </c>
      <c r="AM74" s="14" t="s">
        <v>33</v>
      </c>
      <c r="AN74" t="s">
        <v>33</v>
      </c>
      <c r="AO74" s="14" t="s">
        <v>33</v>
      </c>
      <c r="AP74" t="s">
        <v>33</v>
      </c>
      <c r="AQ74" s="14" t="s">
        <v>33</v>
      </c>
      <c r="AR74" t="s">
        <v>33</v>
      </c>
      <c r="AS74" s="14" t="s">
        <v>33</v>
      </c>
      <c r="AT74" t="s">
        <v>33</v>
      </c>
      <c r="AU74" s="14" t="s">
        <v>33</v>
      </c>
      <c r="AV74" t="s">
        <v>33</v>
      </c>
      <c r="AW74" s="14" t="s">
        <v>33</v>
      </c>
      <c r="AX74" t="s">
        <v>33</v>
      </c>
      <c r="AY74" s="14" t="s">
        <v>33</v>
      </c>
      <c r="AZ74" t="s">
        <v>33</v>
      </c>
      <c r="BA74" s="14" t="s">
        <v>33</v>
      </c>
      <c r="BB74" t="s">
        <v>33</v>
      </c>
      <c r="BC74" s="14" t="s">
        <v>33</v>
      </c>
      <c r="BD74">
        <f t="shared" si="21"/>
        <v>64</v>
      </c>
      <c r="BE74">
        <f t="shared" si="22"/>
        <v>11574</v>
      </c>
      <c r="BF74">
        <f t="shared" si="23"/>
        <v>180.84375</v>
      </c>
    </row>
    <row r="75" spans="1:59" x14ac:dyDescent="0.2">
      <c r="A75" t="s">
        <v>15</v>
      </c>
      <c r="B75" t="s">
        <v>5</v>
      </c>
      <c r="C75" t="s">
        <v>29</v>
      </c>
      <c r="D75">
        <v>0</v>
      </c>
      <c r="E75" s="14">
        <v>0</v>
      </c>
      <c r="F75">
        <v>0</v>
      </c>
      <c r="G75" s="14">
        <f t="shared" si="24"/>
        <v>0</v>
      </c>
      <c r="H75">
        <v>44</v>
      </c>
      <c r="I75" s="14">
        <f t="shared" si="13"/>
        <v>7920</v>
      </c>
      <c r="J75">
        <v>27</v>
      </c>
      <c r="K75" s="14">
        <f t="shared" si="14"/>
        <v>5022</v>
      </c>
      <c r="L75">
        <v>8</v>
      </c>
      <c r="M75" s="14">
        <f t="shared" si="15"/>
        <v>1536</v>
      </c>
      <c r="N75">
        <v>0</v>
      </c>
      <c r="O75" s="14">
        <f t="shared" si="16"/>
        <v>0</v>
      </c>
      <c r="P75">
        <v>1</v>
      </c>
      <c r="Q75" s="14">
        <f t="shared" si="17"/>
        <v>204</v>
      </c>
      <c r="R75" t="s">
        <v>33</v>
      </c>
      <c r="S75" s="14" t="s">
        <v>33</v>
      </c>
      <c r="T75" t="s">
        <v>33</v>
      </c>
      <c r="U75" s="14" t="s">
        <v>33</v>
      </c>
      <c r="V75" t="s">
        <v>33</v>
      </c>
      <c r="W75" s="14" t="s">
        <v>33</v>
      </c>
      <c r="X75" t="s">
        <v>33</v>
      </c>
      <c r="Y75" s="14" t="s">
        <v>33</v>
      </c>
      <c r="Z75" t="s">
        <v>33</v>
      </c>
      <c r="AA75" s="14" t="s">
        <v>33</v>
      </c>
      <c r="AB75" t="s">
        <v>33</v>
      </c>
      <c r="AC75" s="14" t="s">
        <v>33</v>
      </c>
      <c r="AD75" t="s">
        <v>33</v>
      </c>
      <c r="AE75" s="14" t="s">
        <v>33</v>
      </c>
      <c r="AF75">
        <v>1</v>
      </c>
      <c r="AG75" s="14">
        <f>AF75*252</f>
        <v>252</v>
      </c>
      <c r="AH75" t="s">
        <v>33</v>
      </c>
      <c r="AI75" s="14" t="s">
        <v>33</v>
      </c>
      <c r="AJ75" t="s">
        <v>33</v>
      </c>
      <c r="AK75" s="14" t="s">
        <v>33</v>
      </c>
      <c r="AL75" t="s">
        <v>33</v>
      </c>
      <c r="AM75" s="14" t="s">
        <v>33</v>
      </c>
      <c r="AN75" t="s">
        <v>33</v>
      </c>
      <c r="AO75" s="14" t="s">
        <v>33</v>
      </c>
      <c r="AP75" t="s">
        <v>33</v>
      </c>
      <c r="AQ75" s="14" t="s">
        <v>33</v>
      </c>
      <c r="AR75" t="s">
        <v>33</v>
      </c>
      <c r="AS75" s="14" t="s">
        <v>33</v>
      </c>
      <c r="AT75" t="s">
        <v>33</v>
      </c>
      <c r="AU75" s="14" t="s">
        <v>33</v>
      </c>
      <c r="AV75" t="s">
        <v>33</v>
      </c>
      <c r="AW75" s="14" t="s">
        <v>33</v>
      </c>
      <c r="AX75" t="s">
        <v>33</v>
      </c>
      <c r="AY75" s="14" t="s">
        <v>33</v>
      </c>
      <c r="AZ75" t="s">
        <v>33</v>
      </c>
      <c r="BA75" s="14" t="s">
        <v>33</v>
      </c>
      <c r="BB75" t="s">
        <v>33</v>
      </c>
      <c r="BC75" s="14" t="s">
        <v>33</v>
      </c>
      <c r="BD75">
        <f t="shared" si="21"/>
        <v>81</v>
      </c>
      <c r="BE75">
        <f t="shared" si="22"/>
        <v>14934</v>
      </c>
      <c r="BF75">
        <f t="shared" si="23"/>
        <v>184.37037037037038</v>
      </c>
    </row>
    <row r="76" spans="1:59" x14ac:dyDescent="0.2">
      <c r="A76" t="s">
        <v>15</v>
      </c>
      <c r="B76" t="s">
        <v>5</v>
      </c>
      <c r="C76" t="s">
        <v>30</v>
      </c>
      <c r="D76">
        <v>1</v>
      </c>
      <c r="E76" s="14">
        <v>168</v>
      </c>
      <c r="F76">
        <v>4</v>
      </c>
      <c r="G76" s="14">
        <f t="shared" si="24"/>
        <v>696</v>
      </c>
      <c r="H76">
        <v>45</v>
      </c>
      <c r="I76" s="14">
        <f t="shared" si="13"/>
        <v>8100</v>
      </c>
      <c r="J76">
        <v>20</v>
      </c>
      <c r="K76" s="14">
        <f t="shared" si="14"/>
        <v>3720</v>
      </c>
      <c r="L76">
        <v>0</v>
      </c>
      <c r="M76" s="14">
        <f t="shared" si="15"/>
        <v>0</v>
      </c>
      <c r="N76">
        <v>1</v>
      </c>
      <c r="O76" s="14">
        <f t="shared" si="16"/>
        <v>198</v>
      </c>
      <c r="P76">
        <v>0</v>
      </c>
      <c r="Q76" s="14">
        <f t="shared" si="17"/>
        <v>0</v>
      </c>
      <c r="R76" t="s">
        <v>33</v>
      </c>
      <c r="S76" s="14" t="s">
        <v>33</v>
      </c>
      <c r="T76" t="s">
        <v>33</v>
      </c>
      <c r="U76" s="14" t="s">
        <v>33</v>
      </c>
      <c r="V76" t="s">
        <v>33</v>
      </c>
      <c r="W76" s="14" t="s">
        <v>33</v>
      </c>
      <c r="X76" t="s">
        <v>33</v>
      </c>
      <c r="Y76" s="14" t="s">
        <v>33</v>
      </c>
      <c r="Z76" t="s">
        <v>33</v>
      </c>
      <c r="AA76" s="14" t="s">
        <v>33</v>
      </c>
      <c r="AB76" t="s">
        <v>33</v>
      </c>
      <c r="AC76" s="14" t="s">
        <v>33</v>
      </c>
      <c r="AD76" t="s">
        <v>33</v>
      </c>
      <c r="AE76" s="14" t="s">
        <v>33</v>
      </c>
      <c r="AF76">
        <v>0</v>
      </c>
      <c r="AG76" s="14">
        <f>AF76*252</f>
        <v>0</v>
      </c>
      <c r="AH76" t="s">
        <v>33</v>
      </c>
      <c r="AI76" s="14" t="s">
        <v>33</v>
      </c>
      <c r="AJ76" t="s">
        <v>33</v>
      </c>
      <c r="AK76" s="14" t="s">
        <v>33</v>
      </c>
      <c r="AL76" t="s">
        <v>33</v>
      </c>
      <c r="AM76" s="14" t="s">
        <v>33</v>
      </c>
      <c r="AN76" t="s">
        <v>33</v>
      </c>
      <c r="AO76" s="14" t="s">
        <v>33</v>
      </c>
      <c r="AP76" t="s">
        <v>33</v>
      </c>
      <c r="AQ76" s="14" t="s">
        <v>33</v>
      </c>
      <c r="AR76" t="s">
        <v>33</v>
      </c>
      <c r="AS76" s="14" t="s">
        <v>33</v>
      </c>
      <c r="AT76" t="s">
        <v>33</v>
      </c>
      <c r="AU76" s="14" t="s">
        <v>33</v>
      </c>
      <c r="AV76" t="s">
        <v>33</v>
      </c>
      <c r="AW76" s="14" t="s">
        <v>33</v>
      </c>
      <c r="AX76" t="s">
        <v>33</v>
      </c>
      <c r="AY76" s="14" t="s">
        <v>33</v>
      </c>
      <c r="AZ76" t="s">
        <v>33</v>
      </c>
      <c r="BA76" s="14" t="s">
        <v>33</v>
      </c>
      <c r="BB76" t="s">
        <v>33</v>
      </c>
      <c r="BC76" s="14" t="s">
        <v>33</v>
      </c>
      <c r="BD76">
        <f t="shared" si="21"/>
        <v>71</v>
      </c>
      <c r="BE76">
        <f t="shared" si="22"/>
        <v>12882</v>
      </c>
      <c r="BF76">
        <f t="shared" si="23"/>
        <v>181.43661971830986</v>
      </c>
    </row>
    <row r="77" spans="1:59" x14ac:dyDescent="0.2">
      <c r="A77" t="s">
        <v>15</v>
      </c>
      <c r="B77" t="s">
        <v>6</v>
      </c>
      <c r="C77" t="s">
        <v>29</v>
      </c>
      <c r="D77" t="s">
        <v>33</v>
      </c>
      <c r="E77" s="14" t="s">
        <v>33</v>
      </c>
      <c r="F77">
        <v>0</v>
      </c>
      <c r="G77" s="14">
        <f t="shared" si="24"/>
        <v>0</v>
      </c>
      <c r="H77">
        <v>46</v>
      </c>
      <c r="I77" s="14">
        <f t="shared" si="13"/>
        <v>8280</v>
      </c>
      <c r="J77">
        <v>21</v>
      </c>
      <c r="K77" s="14">
        <f t="shared" si="14"/>
        <v>3906</v>
      </c>
      <c r="L77">
        <v>19</v>
      </c>
      <c r="M77" s="14">
        <f t="shared" si="15"/>
        <v>3648</v>
      </c>
      <c r="N77">
        <v>3</v>
      </c>
      <c r="O77" s="14">
        <f t="shared" si="16"/>
        <v>594</v>
      </c>
      <c r="P77">
        <v>0</v>
      </c>
      <c r="Q77" s="14">
        <f t="shared" si="17"/>
        <v>0</v>
      </c>
      <c r="R77">
        <v>0</v>
      </c>
      <c r="S77" s="14">
        <f t="shared" si="18"/>
        <v>0</v>
      </c>
      <c r="T77" t="s">
        <v>33</v>
      </c>
      <c r="U77" s="14" t="s">
        <v>33</v>
      </c>
      <c r="V77" t="s">
        <v>33</v>
      </c>
      <c r="W77" s="14" t="s">
        <v>33</v>
      </c>
      <c r="X77">
        <v>1</v>
      </c>
      <c r="Y77" s="14">
        <f>X77*228</f>
        <v>228</v>
      </c>
      <c r="Z77" t="s">
        <v>33</v>
      </c>
      <c r="AA77" s="14" t="s">
        <v>33</v>
      </c>
      <c r="AB77" t="s">
        <v>33</v>
      </c>
      <c r="AC77" s="14" t="s">
        <v>33</v>
      </c>
      <c r="AD77" t="s">
        <v>33</v>
      </c>
      <c r="AE77" s="14" t="s">
        <v>33</v>
      </c>
      <c r="AF77" t="s">
        <v>33</v>
      </c>
      <c r="AG77" s="14" t="s">
        <v>33</v>
      </c>
      <c r="AH77" t="s">
        <v>33</v>
      </c>
      <c r="AI77" s="14" t="s">
        <v>33</v>
      </c>
      <c r="AJ77" t="s">
        <v>33</v>
      </c>
      <c r="AK77" s="14" t="s">
        <v>33</v>
      </c>
      <c r="AL77" t="s">
        <v>33</v>
      </c>
      <c r="AM77" s="14" t="s">
        <v>33</v>
      </c>
      <c r="AN77" t="s">
        <v>33</v>
      </c>
      <c r="AO77" s="14" t="s">
        <v>33</v>
      </c>
      <c r="AP77" t="s">
        <v>33</v>
      </c>
      <c r="AQ77" s="14" t="s">
        <v>33</v>
      </c>
      <c r="AR77" t="s">
        <v>33</v>
      </c>
      <c r="AS77" s="14" t="s">
        <v>33</v>
      </c>
      <c r="AT77" t="s">
        <v>33</v>
      </c>
      <c r="AU77" s="14" t="s">
        <v>33</v>
      </c>
      <c r="AV77" t="s">
        <v>33</v>
      </c>
      <c r="AW77" s="14" t="s">
        <v>33</v>
      </c>
      <c r="AX77" t="s">
        <v>33</v>
      </c>
      <c r="AY77" s="14" t="s">
        <v>33</v>
      </c>
      <c r="AZ77" t="s">
        <v>33</v>
      </c>
      <c r="BA77" s="14" t="s">
        <v>33</v>
      </c>
      <c r="BB77" t="s">
        <v>33</v>
      </c>
      <c r="BC77" s="14" t="s">
        <v>33</v>
      </c>
      <c r="BD77">
        <f t="shared" si="21"/>
        <v>90</v>
      </c>
      <c r="BE77">
        <f t="shared" si="22"/>
        <v>16656</v>
      </c>
      <c r="BF77">
        <f t="shared" si="23"/>
        <v>185.06666666666666</v>
      </c>
      <c r="BG77" t="s">
        <v>68</v>
      </c>
    </row>
    <row r="78" spans="1:59" x14ac:dyDescent="0.2">
      <c r="A78" t="s">
        <v>15</v>
      </c>
      <c r="B78" t="s">
        <v>6</v>
      </c>
      <c r="C78" t="s">
        <v>30</v>
      </c>
      <c r="D78" t="s">
        <v>33</v>
      </c>
      <c r="E78" s="14" t="s">
        <v>33</v>
      </c>
      <c r="F78">
        <v>4</v>
      </c>
      <c r="G78" s="14">
        <f t="shared" si="24"/>
        <v>696</v>
      </c>
      <c r="H78">
        <v>47</v>
      </c>
      <c r="I78" s="14">
        <f t="shared" si="13"/>
        <v>8460</v>
      </c>
      <c r="J78">
        <v>15</v>
      </c>
      <c r="K78" s="14">
        <f t="shared" si="14"/>
        <v>2790</v>
      </c>
      <c r="L78">
        <v>9</v>
      </c>
      <c r="M78" s="14">
        <f t="shared" si="15"/>
        <v>1728</v>
      </c>
      <c r="N78">
        <v>0</v>
      </c>
      <c r="O78" s="14">
        <f t="shared" si="16"/>
        <v>0</v>
      </c>
      <c r="P78">
        <v>0</v>
      </c>
      <c r="Q78" s="14">
        <f t="shared" si="17"/>
        <v>0</v>
      </c>
      <c r="R78">
        <v>0</v>
      </c>
      <c r="S78" s="14">
        <f t="shared" si="18"/>
        <v>0</v>
      </c>
      <c r="T78" t="s">
        <v>33</v>
      </c>
      <c r="U78" s="14" t="s">
        <v>33</v>
      </c>
      <c r="V78" t="s">
        <v>33</v>
      </c>
      <c r="W78" s="14" t="s">
        <v>33</v>
      </c>
      <c r="X78">
        <v>0</v>
      </c>
      <c r="Y78" s="14">
        <f>X78*228</f>
        <v>0</v>
      </c>
      <c r="Z78" t="s">
        <v>33</v>
      </c>
      <c r="AA78" s="14" t="s">
        <v>33</v>
      </c>
      <c r="AB78" t="s">
        <v>33</v>
      </c>
      <c r="AC78" s="14" t="s">
        <v>33</v>
      </c>
      <c r="AD78" t="s">
        <v>33</v>
      </c>
      <c r="AE78" s="14" t="s">
        <v>33</v>
      </c>
      <c r="AF78" t="s">
        <v>33</v>
      </c>
      <c r="AG78" s="14" t="s">
        <v>33</v>
      </c>
      <c r="AH78" t="s">
        <v>33</v>
      </c>
      <c r="AI78" s="14" t="s">
        <v>33</v>
      </c>
      <c r="AJ78" t="s">
        <v>33</v>
      </c>
      <c r="AK78" s="14" t="s">
        <v>33</v>
      </c>
      <c r="AL78" t="s">
        <v>33</v>
      </c>
      <c r="AM78" s="14" t="s">
        <v>33</v>
      </c>
      <c r="AN78" t="s">
        <v>33</v>
      </c>
      <c r="AO78" s="14" t="s">
        <v>33</v>
      </c>
      <c r="AP78" t="s">
        <v>33</v>
      </c>
      <c r="AQ78" s="14" t="s">
        <v>33</v>
      </c>
      <c r="AR78" t="s">
        <v>33</v>
      </c>
      <c r="AS78" s="14" t="s">
        <v>33</v>
      </c>
      <c r="AT78" t="s">
        <v>33</v>
      </c>
      <c r="AU78" s="14" t="s">
        <v>33</v>
      </c>
      <c r="AV78" t="s">
        <v>33</v>
      </c>
      <c r="AW78" s="14" t="s">
        <v>33</v>
      </c>
      <c r="AX78" t="s">
        <v>33</v>
      </c>
      <c r="AY78" s="14" t="s">
        <v>33</v>
      </c>
      <c r="AZ78" t="s">
        <v>33</v>
      </c>
      <c r="BA78" s="14" t="s">
        <v>33</v>
      </c>
      <c r="BB78" t="s">
        <v>33</v>
      </c>
      <c r="BC78" s="14" t="s">
        <v>33</v>
      </c>
      <c r="BD78">
        <f t="shared" si="21"/>
        <v>75</v>
      </c>
      <c r="BE78">
        <f t="shared" si="22"/>
        <v>13674</v>
      </c>
      <c r="BF78">
        <f t="shared" si="23"/>
        <v>182.32</v>
      </c>
    </row>
    <row r="79" spans="1:59" x14ac:dyDescent="0.2">
      <c r="A79" t="s">
        <v>15</v>
      </c>
      <c r="B79" t="s">
        <v>7</v>
      </c>
      <c r="C79" t="s">
        <v>29</v>
      </c>
      <c r="D79" t="s">
        <v>33</v>
      </c>
      <c r="E79" s="14" t="s">
        <v>33</v>
      </c>
      <c r="F79">
        <v>1</v>
      </c>
      <c r="G79" s="14">
        <f t="shared" si="24"/>
        <v>174</v>
      </c>
      <c r="H79">
        <v>48</v>
      </c>
      <c r="I79" s="14">
        <f t="shared" si="13"/>
        <v>8640</v>
      </c>
      <c r="J79">
        <v>20</v>
      </c>
      <c r="K79" s="14">
        <f t="shared" si="14"/>
        <v>3720</v>
      </c>
      <c r="L79">
        <v>8</v>
      </c>
      <c r="M79" s="14">
        <f t="shared" si="15"/>
        <v>1536</v>
      </c>
      <c r="N79">
        <v>1</v>
      </c>
      <c r="O79" s="14">
        <f t="shared" si="16"/>
        <v>198</v>
      </c>
      <c r="P79" t="s">
        <v>33</v>
      </c>
      <c r="Q79" s="14" t="s">
        <v>33</v>
      </c>
      <c r="R79">
        <v>1</v>
      </c>
      <c r="S79" s="14">
        <f t="shared" si="18"/>
        <v>210</v>
      </c>
      <c r="T79" t="s">
        <v>33</v>
      </c>
      <c r="U79" s="14" t="s">
        <v>33</v>
      </c>
      <c r="V79" t="s">
        <v>33</v>
      </c>
      <c r="W79" s="14" t="s">
        <v>33</v>
      </c>
      <c r="X79" t="s">
        <v>33</v>
      </c>
      <c r="Y79" s="14" t="s">
        <v>33</v>
      </c>
      <c r="Z79" t="s">
        <v>33</v>
      </c>
      <c r="AA79" s="14" t="s">
        <v>33</v>
      </c>
      <c r="AB79" t="s">
        <v>33</v>
      </c>
      <c r="AC79" s="14" t="s">
        <v>33</v>
      </c>
      <c r="AD79" t="s">
        <v>33</v>
      </c>
      <c r="AE79" s="14" t="s">
        <v>33</v>
      </c>
      <c r="AF79" t="s">
        <v>33</v>
      </c>
      <c r="AG79" s="14" t="s">
        <v>33</v>
      </c>
      <c r="AH79" t="s">
        <v>33</v>
      </c>
      <c r="AI79" s="14" t="s">
        <v>33</v>
      </c>
      <c r="AJ79" t="s">
        <v>33</v>
      </c>
      <c r="AK79" s="14" t="s">
        <v>33</v>
      </c>
      <c r="AL79" t="s">
        <v>33</v>
      </c>
      <c r="AM79" s="14" t="s">
        <v>33</v>
      </c>
      <c r="AN79" t="s">
        <v>33</v>
      </c>
      <c r="AO79" s="14" t="s">
        <v>33</v>
      </c>
      <c r="AP79" t="s">
        <v>33</v>
      </c>
      <c r="AQ79" s="14" t="s">
        <v>33</v>
      </c>
      <c r="AR79" t="s">
        <v>33</v>
      </c>
      <c r="AS79" s="14" t="s">
        <v>33</v>
      </c>
      <c r="AT79" t="s">
        <v>33</v>
      </c>
      <c r="AU79" s="14" t="s">
        <v>33</v>
      </c>
      <c r="AV79" t="s">
        <v>33</v>
      </c>
      <c r="AW79" s="14" t="s">
        <v>33</v>
      </c>
      <c r="AX79" t="s">
        <v>33</v>
      </c>
      <c r="AY79" s="14" t="s">
        <v>33</v>
      </c>
      <c r="AZ79" t="s">
        <v>33</v>
      </c>
      <c r="BA79" s="14" t="s">
        <v>33</v>
      </c>
      <c r="BB79" t="s">
        <v>33</v>
      </c>
      <c r="BC79" s="14" t="s">
        <v>33</v>
      </c>
      <c r="BD79">
        <f t="shared" si="21"/>
        <v>79</v>
      </c>
      <c r="BE79">
        <f t="shared" si="22"/>
        <v>14478</v>
      </c>
      <c r="BF79">
        <f t="shared" si="23"/>
        <v>183.26582278481013</v>
      </c>
    </row>
    <row r="80" spans="1:59" x14ac:dyDescent="0.2">
      <c r="A80" t="s">
        <v>15</v>
      </c>
      <c r="B80" t="s">
        <v>7</v>
      </c>
      <c r="C80" t="s">
        <v>30</v>
      </c>
      <c r="D80" t="s">
        <v>33</v>
      </c>
      <c r="E80" s="14" t="s">
        <v>33</v>
      </c>
      <c r="F80">
        <v>10</v>
      </c>
      <c r="G80" s="14">
        <f t="shared" si="24"/>
        <v>1740</v>
      </c>
      <c r="H80">
        <v>49</v>
      </c>
      <c r="I80" s="14">
        <f t="shared" si="13"/>
        <v>8820</v>
      </c>
      <c r="J80">
        <v>7</v>
      </c>
      <c r="K80" s="14">
        <f t="shared" si="14"/>
        <v>1302</v>
      </c>
      <c r="L80">
        <v>1</v>
      </c>
      <c r="M80" s="14">
        <f t="shared" si="15"/>
        <v>192</v>
      </c>
      <c r="N80">
        <v>0</v>
      </c>
      <c r="O80" s="14">
        <f t="shared" si="16"/>
        <v>0</v>
      </c>
      <c r="P80" t="s">
        <v>33</v>
      </c>
      <c r="Q80" s="14" t="s">
        <v>33</v>
      </c>
      <c r="R80">
        <v>1</v>
      </c>
      <c r="S80" s="14">
        <f t="shared" si="18"/>
        <v>210</v>
      </c>
      <c r="T80" t="s">
        <v>33</v>
      </c>
      <c r="U80" s="14" t="s">
        <v>33</v>
      </c>
      <c r="V80" t="s">
        <v>33</v>
      </c>
      <c r="W80" s="14" t="s">
        <v>33</v>
      </c>
      <c r="X80" t="s">
        <v>33</v>
      </c>
      <c r="Y80" s="14" t="s">
        <v>33</v>
      </c>
      <c r="Z80" t="s">
        <v>33</v>
      </c>
      <c r="AA80" s="14" t="s">
        <v>33</v>
      </c>
      <c r="AB80" t="s">
        <v>33</v>
      </c>
      <c r="AC80" s="14" t="s">
        <v>33</v>
      </c>
      <c r="AD80" t="s">
        <v>33</v>
      </c>
      <c r="AE80" s="14" t="s">
        <v>33</v>
      </c>
      <c r="AF80" t="s">
        <v>33</v>
      </c>
      <c r="AG80" s="14" t="s">
        <v>33</v>
      </c>
      <c r="AH80" t="s">
        <v>33</v>
      </c>
      <c r="AI80" s="14" t="s">
        <v>33</v>
      </c>
      <c r="AJ80" t="s">
        <v>33</v>
      </c>
      <c r="AK80" s="14" t="s">
        <v>33</v>
      </c>
      <c r="AL80" t="s">
        <v>33</v>
      </c>
      <c r="AM80" s="14" t="s">
        <v>33</v>
      </c>
      <c r="AN80" t="s">
        <v>33</v>
      </c>
      <c r="AO80" s="14" t="s">
        <v>33</v>
      </c>
      <c r="AP80" t="s">
        <v>33</v>
      </c>
      <c r="AQ80" s="14" t="s">
        <v>33</v>
      </c>
      <c r="AR80" t="s">
        <v>33</v>
      </c>
      <c r="AS80" s="14" t="s">
        <v>33</v>
      </c>
      <c r="AT80" t="s">
        <v>33</v>
      </c>
      <c r="AU80" s="14" t="s">
        <v>33</v>
      </c>
      <c r="AV80" t="s">
        <v>33</v>
      </c>
      <c r="AW80" s="14" t="s">
        <v>33</v>
      </c>
      <c r="AX80" t="s">
        <v>33</v>
      </c>
      <c r="AY80" s="14" t="s">
        <v>33</v>
      </c>
      <c r="AZ80" t="s">
        <v>33</v>
      </c>
      <c r="BA80" s="14" t="s">
        <v>33</v>
      </c>
      <c r="BB80" t="s">
        <v>33</v>
      </c>
      <c r="BC80" s="14" t="s">
        <v>33</v>
      </c>
      <c r="BD80">
        <f t="shared" si="21"/>
        <v>68</v>
      </c>
      <c r="BE80">
        <f t="shared" si="22"/>
        <v>12264</v>
      </c>
      <c r="BF80">
        <f t="shared" si="23"/>
        <v>180.35294117647058</v>
      </c>
    </row>
    <row r="81" spans="1:59" x14ac:dyDescent="0.2">
      <c r="A81" t="s">
        <v>15</v>
      </c>
      <c r="B81" t="s">
        <v>8</v>
      </c>
      <c r="C81" t="s">
        <v>29</v>
      </c>
      <c r="D81" t="s">
        <v>33</v>
      </c>
      <c r="E81" s="14" t="s">
        <v>33</v>
      </c>
      <c r="F81">
        <v>0</v>
      </c>
      <c r="G81" s="14">
        <f t="shared" si="24"/>
        <v>0</v>
      </c>
      <c r="H81">
        <v>50</v>
      </c>
      <c r="I81" s="14">
        <f t="shared" si="13"/>
        <v>9000</v>
      </c>
      <c r="J81">
        <v>17</v>
      </c>
      <c r="K81" s="14">
        <f t="shared" si="14"/>
        <v>3162</v>
      </c>
      <c r="L81">
        <v>15</v>
      </c>
      <c r="M81" s="14">
        <f t="shared" si="15"/>
        <v>2880</v>
      </c>
      <c r="N81">
        <v>3</v>
      </c>
      <c r="O81" s="14">
        <f t="shared" si="16"/>
        <v>594</v>
      </c>
      <c r="P81" t="s">
        <v>33</v>
      </c>
      <c r="Q81" s="14" t="s">
        <v>33</v>
      </c>
      <c r="R81" t="s">
        <v>33</v>
      </c>
      <c r="S81" s="14" t="s">
        <v>33</v>
      </c>
      <c r="T81" t="s">
        <v>33</v>
      </c>
      <c r="U81" s="14" t="s">
        <v>33</v>
      </c>
      <c r="V81" t="s">
        <v>33</v>
      </c>
      <c r="W81" s="14" t="s">
        <v>33</v>
      </c>
      <c r="X81" t="s">
        <v>33</v>
      </c>
      <c r="Y81" s="14" t="s">
        <v>33</v>
      </c>
      <c r="Z81">
        <v>1</v>
      </c>
      <c r="AA81" s="14">
        <f t="shared" si="20"/>
        <v>234</v>
      </c>
      <c r="AB81">
        <v>1</v>
      </c>
      <c r="AC81" s="14">
        <f>AB81*240</f>
        <v>240</v>
      </c>
      <c r="AD81" t="s">
        <v>33</v>
      </c>
      <c r="AE81" s="14" t="s">
        <v>33</v>
      </c>
      <c r="AF81" t="s">
        <v>33</v>
      </c>
      <c r="AG81" s="14" t="s">
        <v>33</v>
      </c>
      <c r="AH81" t="s">
        <v>33</v>
      </c>
      <c r="AI81" s="14" t="s">
        <v>33</v>
      </c>
      <c r="AJ81" t="s">
        <v>33</v>
      </c>
      <c r="AK81" s="14" t="s">
        <v>33</v>
      </c>
      <c r="AL81" t="s">
        <v>33</v>
      </c>
      <c r="AM81" s="14" t="s">
        <v>33</v>
      </c>
      <c r="AN81" t="s">
        <v>33</v>
      </c>
      <c r="AO81" s="14" t="s">
        <v>33</v>
      </c>
      <c r="AP81" t="s">
        <v>33</v>
      </c>
      <c r="AQ81" s="14" t="s">
        <v>33</v>
      </c>
      <c r="AR81" t="s">
        <v>33</v>
      </c>
      <c r="AS81" s="14" t="s">
        <v>33</v>
      </c>
      <c r="AT81" t="s">
        <v>33</v>
      </c>
      <c r="AU81" s="14" t="s">
        <v>33</v>
      </c>
      <c r="AV81" t="s">
        <v>33</v>
      </c>
      <c r="AW81" s="14" t="s">
        <v>33</v>
      </c>
      <c r="AX81" t="s">
        <v>33</v>
      </c>
      <c r="AY81" s="14" t="s">
        <v>33</v>
      </c>
      <c r="AZ81" t="s">
        <v>33</v>
      </c>
      <c r="BA81" s="14" t="s">
        <v>33</v>
      </c>
      <c r="BB81" t="s">
        <v>33</v>
      </c>
      <c r="BC81" s="14" t="s">
        <v>33</v>
      </c>
      <c r="BD81">
        <f t="shared" si="21"/>
        <v>87</v>
      </c>
      <c r="BE81">
        <f t="shared" si="22"/>
        <v>16110</v>
      </c>
      <c r="BF81">
        <f t="shared" si="23"/>
        <v>185.17241379310346</v>
      </c>
    </row>
    <row r="82" spans="1:59" x14ac:dyDescent="0.2">
      <c r="A82" t="s">
        <v>15</v>
      </c>
      <c r="B82" t="s">
        <v>8</v>
      </c>
      <c r="C82" t="s">
        <v>30</v>
      </c>
      <c r="D82" t="s">
        <v>33</v>
      </c>
      <c r="E82" s="14" t="s">
        <v>33</v>
      </c>
      <c r="F82">
        <v>1</v>
      </c>
      <c r="G82" s="14">
        <f t="shared" si="24"/>
        <v>174</v>
      </c>
      <c r="H82">
        <v>51</v>
      </c>
      <c r="I82" s="14">
        <f t="shared" si="13"/>
        <v>9180</v>
      </c>
      <c r="J82">
        <v>18</v>
      </c>
      <c r="K82" s="14">
        <f t="shared" si="14"/>
        <v>3348</v>
      </c>
      <c r="L82">
        <v>3</v>
      </c>
      <c r="M82" s="14">
        <f t="shared" si="15"/>
        <v>576</v>
      </c>
      <c r="N82">
        <v>0</v>
      </c>
      <c r="O82" s="14">
        <f t="shared" si="16"/>
        <v>0</v>
      </c>
      <c r="P82" t="s">
        <v>33</v>
      </c>
      <c r="Q82" s="14" t="s">
        <v>33</v>
      </c>
      <c r="R82" t="s">
        <v>33</v>
      </c>
      <c r="S82" s="14" t="s">
        <v>33</v>
      </c>
      <c r="T82" t="s">
        <v>33</v>
      </c>
      <c r="U82" s="14" t="s">
        <v>33</v>
      </c>
      <c r="V82" t="s">
        <v>33</v>
      </c>
      <c r="W82" s="14" t="s">
        <v>33</v>
      </c>
      <c r="X82" t="s">
        <v>33</v>
      </c>
      <c r="Y82" s="14" t="s">
        <v>33</v>
      </c>
      <c r="Z82">
        <v>0</v>
      </c>
      <c r="AA82" s="14">
        <f t="shared" si="20"/>
        <v>0</v>
      </c>
      <c r="AB82">
        <v>0</v>
      </c>
      <c r="AC82" s="14">
        <f>AB82*240</f>
        <v>0</v>
      </c>
      <c r="AD82" t="s">
        <v>33</v>
      </c>
      <c r="AE82" s="14" t="s">
        <v>33</v>
      </c>
      <c r="AF82" t="s">
        <v>33</v>
      </c>
      <c r="AG82" s="14" t="s">
        <v>33</v>
      </c>
      <c r="AH82" t="s">
        <v>33</v>
      </c>
      <c r="AI82" s="14" t="s">
        <v>33</v>
      </c>
      <c r="AJ82" t="s">
        <v>33</v>
      </c>
      <c r="AK82" s="14" t="s">
        <v>33</v>
      </c>
      <c r="AL82" t="s">
        <v>33</v>
      </c>
      <c r="AM82" s="14" t="s">
        <v>33</v>
      </c>
      <c r="AN82" t="s">
        <v>33</v>
      </c>
      <c r="AO82" s="14" t="s">
        <v>33</v>
      </c>
      <c r="AP82" t="s">
        <v>33</v>
      </c>
      <c r="AQ82" s="14" t="s">
        <v>33</v>
      </c>
      <c r="AR82" t="s">
        <v>33</v>
      </c>
      <c r="AS82" s="14" t="s">
        <v>33</v>
      </c>
      <c r="AT82" t="s">
        <v>33</v>
      </c>
      <c r="AU82" s="14" t="s">
        <v>33</v>
      </c>
      <c r="AV82" t="s">
        <v>33</v>
      </c>
      <c r="AW82" s="14" t="s">
        <v>33</v>
      </c>
      <c r="AX82" t="s">
        <v>33</v>
      </c>
      <c r="AY82" s="14" t="s">
        <v>33</v>
      </c>
      <c r="AZ82" t="s">
        <v>33</v>
      </c>
      <c r="BA82" s="14" t="s">
        <v>33</v>
      </c>
      <c r="BB82" t="s">
        <v>33</v>
      </c>
      <c r="BC82" s="14" t="s">
        <v>33</v>
      </c>
      <c r="BD82">
        <f t="shared" si="21"/>
        <v>73</v>
      </c>
      <c r="BE82">
        <f t="shared" si="22"/>
        <v>13278</v>
      </c>
      <c r="BF82">
        <f t="shared" si="23"/>
        <v>181.89041095890411</v>
      </c>
    </row>
    <row r="83" spans="1:59" x14ac:dyDescent="0.2">
      <c r="A83" t="s">
        <v>16</v>
      </c>
      <c r="B83" t="s">
        <v>4</v>
      </c>
      <c r="C83" t="s">
        <v>29</v>
      </c>
      <c r="D83" t="s">
        <v>33</v>
      </c>
      <c r="E83" s="14" t="s">
        <v>33</v>
      </c>
      <c r="F83">
        <v>1</v>
      </c>
      <c r="G83" s="14">
        <f t="shared" si="24"/>
        <v>174</v>
      </c>
      <c r="H83">
        <v>52</v>
      </c>
      <c r="I83" s="14">
        <f t="shared" si="13"/>
        <v>9360</v>
      </c>
      <c r="J83">
        <v>30</v>
      </c>
      <c r="K83" s="14">
        <f t="shared" si="14"/>
        <v>5580</v>
      </c>
      <c r="L83">
        <v>20</v>
      </c>
      <c r="M83" s="14">
        <f t="shared" si="15"/>
        <v>3840</v>
      </c>
      <c r="N83">
        <v>2</v>
      </c>
      <c r="O83" s="14">
        <f t="shared" si="16"/>
        <v>396</v>
      </c>
      <c r="P83" t="s">
        <v>33</v>
      </c>
      <c r="Q83" s="14" t="s">
        <v>33</v>
      </c>
      <c r="R83" t="s">
        <v>33</v>
      </c>
      <c r="S83" s="14" t="s">
        <v>33</v>
      </c>
      <c r="T83" t="s">
        <v>33</v>
      </c>
      <c r="U83" s="14" t="s">
        <v>33</v>
      </c>
      <c r="V83" t="s">
        <v>33</v>
      </c>
      <c r="W83" s="14" t="s">
        <v>33</v>
      </c>
      <c r="X83" t="s">
        <v>33</v>
      </c>
      <c r="Y83" s="14" t="s">
        <v>33</v>
      </c>
      <c r="Z83" t="s">
        <v>33</v>
      </c>
      <c r="AA83" s="14" t="s">
        <v>33</v>
      </c>
      <c r="AB83" t="s">
        <v>33</v>
      </c>
      <c r="AC83" s="14" t="s">
        <v>33</v>
      </c>
      <c r="AD83" t="s">
        <v>33</v>
      </c>
      <c r="AE83" s="14" t="s">
        <v>33</v>
      </c>
      <c r="AF83" t="s">
        <v>33</v>
      </c>
      <c r="AG83" s="14" t="s">
        <v>33</v>
      </c>
      <c r="AH83" t="s">
        <v>33</v>
      </c>
      <c r="AI83" s="14" t="s">
        <v>33</v>
      </c>
      <c r="AJ83" t="s">
        <v>33</v>
      </c>
      <c r="AK83" s="14" t="s">
        <v>33</v>
      </c>
      <c r="AL83" t="s">
        <v>33</v>
      </c>
      <c r="AM83" s="14" t="s">
        <v>33</v>
      </c>
      <c r="AN83" t="s">
        <v>33</v>
      </c>
      <c r="AO83" s="14" t="s">
        <v>33</v>
      </c>
      <c r="AP83" t="s">
        <v>33</v>
      </c>
      <c r="AQ83" s="14" t="s">
        <v>33</v>
      </c>
      <c r="AR83" t="s">
        <v>33</v>
      </c>
      <c r="AS83" s="14" t="s">
        <v>33</v>
      </c>
      <c r="AT83" t="s">
        <v>33</v>
      </c>
      <c r="AU83" s="14" t="s">
        <v>33</v>
      </c>
      <c r="AV83" t="s">
        <v>33</v>
      </c>
      <c r="AW83" s="14" t="s">
        <v>33</v>
      </c>
      <c r="AX83" t="s">
        <v>33</v>
      </c>
      <c r="AY83" s="14" t="s">
        <v>33</v>
      </c>
      <c r="AZ83" t="s">
        <v>33</v>
      </c>
      <c r="BA83" s="14" t="s">
        <v>33</v>
      </c>
      <c r="BB83" t="s">
        <v>33</v>
      </c>
      <c r="BC83" s="14" t="s">
        <v>33</v>
      </c>
      <c r="BD83">
        <f t="shared" si="21"/>
        <v>105</v>
      </c>
      <c r="BE83">
        <f t="shared" si="22"/>
        <v>19350</v>
      </c>
      <c r="BF83">
        <f t="shared" si="23"/>
        <v>184.28571428571428</v>
      </c>
    </row>
    <row r="84" spans="1:59" x14ac:dyDescent="0.2">
      <c r="A84" t="s">
        <v>16</v>
      </c>
      <c r="B84" t="s">
        <v>4</v>
      </c>
      <c r="C84" t="s">
        <v>30</v>
      </c>
      <c r="D84" t="s">
        <v>33</v>
      </c>
      <c r="E84" s="14" t="s">
        <v>33</v>
      </c>
      <c r="F84">
        <v>5</v>
      </c>
      <c r="G84" s="14">
        <f t="shared" si="24"/>
        <v>870</v>
      </c>
      <c r="H84">
        <v>53</v>
      </c>
      <c r="I84" s="14">
        <f t="shared" si="13"/>
        <v>9540</v>
      </c>
      <c r="J84">
        <v>25</v>
      </c>
      <c r="K84" s="14">
        <f t="shared" si="14"/>
        <v>4650</v>
      </c>
      <c r="L84">
        <v>13</v>
      </c>
      <c r="M84" s="14">
        <f t="shared" si="15"/>
        <v>2496</v>
      </c>
      <c r="N84">
        <v>6</v>
      </c>
      <c r="O84" s="14">
        <f t="shared" si="16"/>
        <v>1188</v>
      </c>
      <c r="P84" t="s">
        <v>33</v>
      </c>
      <c r="Q84" s="14" t="s">
        <v>33</v>
      </c>
      <c r="R84" t="s">
        <v>33</v>
      </c>
      <c r="S84" s="14" t="s">
        <v>33</v>
      </c>
      <c r="T84" t="s">
        <v>33</v>
      </c>
      <c r="U84" s="14" t="s">
        <v>33</v>
      </c>
      <c r="V84" t="s">
        <v>33</v>
      </c>
      <c r="W84" s="14" t="s">
        <v>33</v>
      </c>
      <c r="X84" t="s">
        <v>33</v>
      </c>
      <c r="Y84" s="14" t="s">
        <v>33</v>
      </c>
      <c r="Z84" t="s">
        <v>33</v>
      </c>
      <c r="AA84" s="14" t="s">
        <v>33</v>
      </c>
      <c r="AB84" t="s">
        <v>33</v>
      </c>
      <c r="AC84" s="14" t="s">
        <v>33</v>
      </c>
      <c r="AD84" t="s">
        <v>33</v>
      </c>
      <c r="AE84" s="14" t="s">
        <v>33</v>
      </c>
      <c r="AF84" t="s">
        <v>33</v>
      </c>
      <c r="AG84" s="14" t="s">
        <v>33</v>
      </c>
      <c r="AH84" t="s">
        <v>33</v>
      </c>
      <c r="AI84" s="14" t="s">
        <v>33</v>
      </c>
      <c r="AJ84" t="s">
        <v>33</v>
      </c>
      <c r="AK84" s="14" t="s">
        <v>33</v>
      </c>
      <c r="AL84" t="s">
        <v>33</v>
      </c>
      <c r="AM84" s="14" t="s">
        <v>33</v>
      </c>
      <c r="AN84" t="s">
        <v>33</v>
      </c>
      <c r="AO84" s="14" t="s">
        <v>33</v>
      </c>
      <c r="AP84" t="s">
        <v>33</v>
      </c>
      <c r="AQ84" s="14" t="s">
        <v>33</v>
      </c>
      <c r="AR84" t="s">
        <v>33</v>
      </c>
      <c r="AS84" s="14" t="s">
        <v>33</v>
      </c>
      <c r="AT84" t="s">
        <v>33</v>
      </c>
      <c r="AU84" s="14" t="s">
        <v>33</v>
      </c>
      <c r="AV84" t="s">
        <v>33</v>
      </c>
      <c r="AW84" s="14" t="s">
        <v>33</v>
      </c>
      <c r="AX84" t="s">
        <v>33</v>
      </c>
      <c r="AY84" s="14" t="s">
        <v>33</v>
      </c>
      <c r="AZ84" t="s">
        <v>33</v>
      </c>
      <c r="BA84" s="14" t="s">
        <v>33</v>
      </c>
      <c r="BB84" t="s">
        <v>33</v>
      </c>
      <c r="BC84" s="14" t="s">
        <v>33</v>
      </c>
      <c r="BD84">
        <f t="shared" si="21"/>
        <v>102</v>
      </c>
      <c r="BE84">
        <f t="shared" si="22"/>
        <v>18744</v>
      </c>
      <c r="BF84">
        <f t="shared" si="23"/>
        <v>183.76470588235293</v>
      </c>
    </row>
    <row r="85" spans="1:59" x14ac:dyDescent="0.2">
      <c r="A85" t="s">
        <v>16</v>
      </c>
      <c r="B85" t="s">
        <v>5</v>
      </c>
      <c r="C85" t="s">
        <v>29</v>
      </c>
      <c r="D85" t="s">
        <v>33</v>
      </c>
      <c r="E85" s="14" t="s">
        <v>33</v>
      </c>
      <c r="F85">
        <v>3</v>
      </c>
      <c r="G85" s="14">
        <f t="shared" si="24"/>
        <v>522</v>
      </c>
      <c r="H85">
        <v>54</v>
      </c>
      <c r="I85" s="14">
        <f t="shared" si="13"/>
        <v>9720</v>
      </c>
      <c r="J85">
        <v>27</v>
      </c>
      <c r="K85" s="14">
        <f t="shared" si="14"/>
        <v>5022</v>
      </c>
      <c r="L85">
        <v>28</v>
      </c>
      <c r="M85" s="14">
        <f t="shared" si="15"/>
        <v>5376</v>
      </c>
      <c r="N85">
        <v>7</v>
      </c>
      <c r="O85" s="14">
        <f t="shared" si="16"/>
        <v>1386</v>
      </c>
      <c r="P85">
        <v>1</v>
      </c>
      <c r="Q85" s="14">
        <f t="shared" si="17"/>
        <v>204</v>
      </c>
      <c r="R85" t="s">
        <v>33</v>
      </c>
      <c r="S85" s="14" t="s">
        <v>33</v>
      </c>
      <c r="T85">
        <v>0</v>
      </c>
      <c r="U85" s="14">
        <f t="shared" si="19"/>
        <v>0</v>
      </c>
      <c r="V85" t="s">
        <v>33</v>
      </c>
      <c r="W85" s="14" t="s">
        <v>33</v>
      </c>
      <c r="X85" t="s">
        <v>33</v>
      </c>
      <c r="Y85" s="14" t="s">
        <v>33</v>
      </c>
      <c r="Z85" t="s">
        <v>33</v>
      </c>
      <c r="AA85" s="14" t="s">
        <v>33</v>
      </c>
      <c r="AB85" t="s">
        <v>33</v>
      </c>
      <c r="AC85" s="14" t="s">
        <v>33</v>
      </c>
      <c r="AD85" t="s">
        <v>33</v>
      </c>
      <c r="AE85" s="14" t="s">
        <v>33</v>
      </c>
      <c r="AF85" t="s">
        <v>33</v>
      </c>
      <c r="AG85" s="14" t="s">
        <v>33</v>
      </c>
      <c r="AH85">
        <v>0</v>
      </c>
      <c r="AI85" s="14">
        <f>AH85*258</f>
        <v>0</v>
      </c>
      <c r="AJ85">
        <v>1</v>
      </c>
      <c r="AK85" s="14">
        <f>AJ85*264</f>
        <v>264</v>
      </c>
      <c r="AL85" t="s">
        <v>33</v>
      </c>
      <c r="AM85" s="14" t="s">
        <v>33</v>
      </c>
      <c r="AN85" t="s">
        <v>33</v>
      </c>
      <c r="AO85" s="14" t="s">
        <v>33</v>
      </c>
      <c r="AP85" t="s">
        <v>33</v>
      </c>
      <c r="AQ85" s="14" t="s">
        <v>33</v>
      </c>
      <c r="AR85" t="s">
        <v>33</v>
      </c>
      <c r="AS85" s="14" t="s">
        <v>33</v>
      </c>
      <c r="AT85" t="s">
        <v>33</v>
      </c>
      <c r="AU85" s="14" t="s">
        <v>33</v>
      </c>
      <c r="AV85" t="s">
        <v>33</v>
      </c>
      <c r="AW85" s="14" t="s">
        <v>33</v>
      </c>
      <c r="AX85" t="s">
        <v>33</v>
      </c>
      <c r="AY85" s="14" t="s">
        <v>33</v>
      </c>
      <c r="AZ85" t="s">
        <v>33</v>
      </c>
      <c r="BA85" s="14" t="s">
        <v>33</v>
      </c>
      <c r="BB85" t="s">
        <v>33</v>
      </c>
      <c r="BC85" s="14" t="s">
        <v>33</v>
      </c>
      <c r="BD85">
        <f t="shared" si="21"/>
        <v>121</v>
      </c>
      <c r="BE85">
        <f t="shared" si="22"/>
        <v>22494</v>
      </c>
      <c r="BF85">
        <f t="shared" si="23"/>
        <v>185.900826446281</v>
      </c>
    </row>
    <row r="86" spans="1:59" x14ac:dyDescent="0.2">
      <c r="A86" t="s">
        <v>16</v>
      </c>
      <c r="B86" t="s">
        <v>5</v>
      </c>
      <c r="C86" t="s">
        <v>30</v>
      </c>
      <c r="D86" t="s">
        <v>33</v>
      </c>
      <c r="E86" s="14" t="s">
        <v>33</v>
      </c>
      <c r="F86">
        <v>3</v>
      </c>
      <c r="G86" s="14">
        <f t="shared" si="24"/>
        <v>522</v>
      </c>
      <c r="H86">
        <v>55</v>
      </c>
      <c r="I86" s="14">
        <f t="shared" si="13"/>
        <v>9900</v>
      </c>
      <c r="J86">
        <v>10</v>
      </c>
      <c r="K86" s="14">
        <f t="shared" si="14"/>
        <v>1860</v>
      </c>
      <c r="L86">
        <v>20</v>
      </c>
      <c r="M86" s="14">
        <f t="shared" si="15"/>
        <v>3840</v>
      </c>
      <c r="N86">
        <v>7</v>
      </c>
      <c r="O86" s="14">
        <f t="shared" si="16"/>
        <v>1386</v>
      </c>
      <c r="P86">
        <v>1</v>
      </c>
      <c r="Q86" s="14">
        <f t="shared" si="17"/>
        <v>204</v>
      </c>
      <c r="R86" t="s">
        <v>33</v>
      </c>
      <c r="S86" s="14" t="s">
        <v>33</v>
      </c>
      <c r="T86">
        <v>1</v>
      </c>
      <c r="U86" s="14">
        <f t="shared" si="19"/>
        <v>216</v>
      </c>
      <c r="V86" t="s">
        <v>33</v>
      </c>
      <c r="W86" s="14" t="s">
        <v>33</v>
      </c>
      <c r="X86" t="s">
        <v>33</v>
      </c>
      <c r="Y86" s="14" t="s">
        <v>33</v>
      </c>
      <c r="Z86" t="s">
        <v>33</v>
      </c>
      <c r="AA86" s="14" t="s">
        <v>33</v>
      </c>
      <c r="AB86" t="s">
        <v>33</v>
      </c>
      <c r="AC86" s="14" t="s">
        <v>33</v>
      </c>
      <c r="AD86" t="s">
        <v>33</v>
      </c>
      <c r="AE86" s="14" t="s">
        <v>33</v>
      </c>
      <c r="AF86" t="s">
        <v>33</v>
      </c>
      <c r="AG86" s="14" t="s">
        <v>33</v>
      </c>
      <c r="AH86">
        <v>1</v>
      </c>
      <c r="AI86" s="14">
        <f>AH86*258</f>
        <v>258</v>
      </c>
      <c r="AJ86">
        <v>0</v>
      </c>
      <c r="AK86" s="14">
        <f>AJ86*264</f>
        <v>0</v>
      </c>
      <c r="AL86" t="s">
        <v>33</v>
      </c>
      <c r="AM86" s="14" t="s">
        <v>33</v>
      </c>
      <c r="AN86" t="s">
        <v>33</v>
      </c>
      <c r="AO86" s="14" t="s">
        <v>33</v>
      </c>
      <c r="AP86" t="s">
        <v>33</v>
      </c>
      <c r="AQ86" s="14" t="s">
        <v>33</v>
      </c>
      <c r="AR86" t="s">
        <v>33</v>
      </c>
      <c r="AS86" s="14" t="s">
        <v>33</v>
      </c>
      <c r="AT86" t="s">
        <v>33</v>
      </c>
      <c r="AU86" s="14" t="s">
        <v>33</v>
      </c>
      <c r="AV86" t="s">
        <v>33</v>
      </c>
      <c r="AW86" s="14" t="s">
        <v>33</v>
      </c>
      <c r="AX86" t="s">
        <v>33</v>
      </c>
      <c r="AY86" s="14" t="s">
        <v>33</v>
      </c>
      <c r="AZ86" t="s">
        <v>33</v>
      </c>
      <c r="BA86" s="14" t="s">
        <v>33</v>
      </c>
      <c r="BB86" t="s">
        <v>33</v>
      </c>
      <c r="BC86" s="14" t="s">
        <v>33</v>
      </c>
      <c r="BD86">
        <f t="shared" si="21"/>
        <v>98</v>
      </c>
      <c r="BE86">
        <f t="shared" si="22"/>
        <v>18186</v>
      </c>
      <c r="BF86">
        <f t="shared" si="23"/>
        <v>185.57142857142858</v>
      </c>
    </row>
    <row r="87" spans="1:59" x14ac:dyDescent="0.2">
      <c r="A87" t="s">
        <v>16</v>
      </c>
      <c r="B87" t="s">
        <v>6</v>
      </c>
      <c r="C87" t="s">
        <v>29</v>
      </c>
      <c r="D87" t="s">
        <v>33</v>
      </c>
      <c r="E87" s="14" t="s">
        <v>33</v>
      </c>
      <c r="F87">
        <v>0</v>
      </c>
      <c r="G87" s="14">
        <f t="shared" si="24"/>
        <v>0</v>
      </c>
      <c r="H87">
        <v>56</v>
      </c>
      <c r="I87" s="14">
        <f t="shared" si="13"/>
        <v>10080</v>
      </c>
      <c r="J87">
        <v>26</v>
      </c>
      <c r="K87" s="14">
        <f t="shared" si="14"/>
        <v>4836</v>
      </c>
      <c r="L87">
        <v>28</v>
      </c>
      <c r="M87" s="14">
        <f t="shared" si="15"/>
        <v>5376</v>
      </c>
      <c r="N87">
        <v>6</v>
      </c>
      <c r="O87" s="14">
        <f t="shared" si="16"/>
        <v>1188</v>
      </c>
      <c r="P87">
        <v>4</v>
      </c>
      <c r="Q87" s="14">
        <f t="shared" si="17"/>
        <v>816</v>
      </c>
      <c r="R87" t="s">
        <v>33</v>
      </c>
      <c r="S87" s="14" t="s">
        <v>33</v>
      </c>
      <c r="T87">
        <v>1</v>
      </c>
      <c r="U87" s="14">
        <f t="shared" si="19"/>
        <v>216</v>
      </c>
      <c r="V87" t="s">
        <v>33</v>
      </c>
      <c r="W87" s="14" t="s">
        <v>33</v>
      </c>
      <c r="X87" t="s">
        <v>33</v>
      </c>
      <c r="Y87" s="14" t="s">
        <v>33</v>
      </c>
      <c r="Z87" t="s">
        <v>33</v>
      </c>
      <c r="AA87" s="14" t="s">
        <v>33</v>
      </c>
      <c r="AB87" t="s">
        <v>33</v>
      </c>
      <c r="AC87" s="14" t="s">
        <v>33</v>
      </c>
      <c r="AD87" t="s">
        <v>33</v>
      </c>
      <c r="AE87" s="14" t="s">
        <v>33</v>
      </c>
      <c r="AF87">
        <v>1</v>
      </c>
      <c r="AG87" s="14">
        <f>AF87*252</f>
        <v>252</v>
      </c>
      <c r="AH87" t="s">
        <v>33</v>
      </c>
      <c r="AI87" s="14" t="s">
        <v>33</v>
      </c>
      <c r="AJ87" t="s">
        <v>33</v>
      </c>
      <c r="AK87" s="14" t="s">
        <v>33</v>
      </c>
      <c r="AL87" t="s">
        <v>33</v>
      </c>
      <c r="AM87" s="14" t="s">
        <v>33</v>
      </c>
      <c r="AN87" t="s">
        <v>33</v>
      </c>
      <c r="AO87" s="14" t="s">
        <v>33</v>
      </c>
      <c r="AP87" t="s">
        <v>33</v>
      </c>
      <c r="AQ87" s="14" t="s">
        <v>33</v>
      </c>
      <c r="AR87" t="s">
        <v>33</v>
      </c>
      <c r="AS87" s="14" t="s">
        <v>33</v>
      </c>
      <c r="AT87" t="s">
        <v>33</v>
      </c>
      <c r="AU87" s="14" t="s">
        <v>33</v>
      </c>
      <c r="AV87" t="s">
        <v>33</v>
      </c>
      <c r="AW87" s="14" t="s">
        <v>33</v>
      </c>
      <c r="AX87" t="s">
        <v>33</v>
      </c>
      <c r="AY87" s="14" t="s">
        <v>33</v>
      </c>
      <c r="AZ87" t="s">
        <v>33</v>
      </c>
      <c r="BA87" s="14" t="s">
        <v>33</v>
      </c>
      <c r="BB87" t="s">
        <v>33</v>
      </c>
      <c r="BC87" s="14" t="s">
        <v>33</v>
      </c>
      <c r="BD87">
        <f t="shared" si="21"/>
        <v>122</v>
      </c>
      <c r="BE87">
        <f t="shared" si="22"/>
        <v>22764</v>
      </c>
      <c r="BF87">
        <f t="shared" si="23"/>
        <v>186.59016393442624</v>
      </c>
      <c r="BG87" t="s">
        <v>63</v>
      </c>
    </row>
    <row r="88" spans="1:59" x14ac:dyDescent="0.2">
      <c r="A88" t="s">
        <v>16</v>
      </c>
      <c r="B88" t="s">
        <v>6</v>
      </c>
      <c r="C88" t="s">
        <v>30</v>
      </c>
      <c r="D88" t="s">
        <v>33</v>
      </c>
      <c r="E88" s="14" t="s">
        <v>33</v>
      </c>
      <c r="F88">
        <v>2</v>
      </c>
      <c r="G88" s="14">
        <f t="shared" si="24"/>
        <v>348</v>
      </c>
      <c r="H88">
        <v>57</v>
      </c>
      <c r="I88" s="14">
        <f t="shared" si="13"/>
        <v>10260</v>
      </c>
      <c r="J88">
        <v>38</v>
      </c>
      <c r="K88" s="14">
        <f t="shared" si="14"/>
        <v>7068</v>
      </c>
      <c r="L88">
        <v>21</v>
      </c>
      <c r="M88" s="14">
        <f t="shared" si="15"/>
        <v>4032</v>
      </c>
      <c r="N88">
        <v>5</v>
      </c>
      <c r="O88" s="14">
        <f t="shared" si="16"/>
        <v>990</v>
      </c>
      <c r="P88">
        <v>1</v>
      </c>
      <c r="Q88" s="14">
        <f t="shared" si="17"/>
        <v>204</v>
      </c>
      <c r="R88" t="s">
        <v>33</v>
      </c>
      <c r="S88" s="14" t="s">
        <v>33</v>
      </c>
      <c r="T88">
        <v>0</v>
      </c>
      <c r="U88" s="14">
        <f t="shared" si="19"/>
        <v>0</v>
      </c>
      <c r="V88" t="s">
        <v>33</v>
      </c>
      <c r="W88" s="14" t="s">
        <v>33</v>
      </c>
      <c r="X88" t="s">
        <v>33</v>
      </c>
      <c r="Y88" s="14" t="s">
        <v>33</v>
      </c>
      <c r="Z88" t="s">
        <v>33</v>
      </c>
      <c r="AA88" s="14" t="s">
        <v>33</v>
      </c>
      <c r="AB88" t="s">
        <v>33</v>
      </c>
      <c r="AC88" s="14" t="s">
        <v>33</v>
      </c>
      <c r="AD88" t="s">
        <v>33</v>
      </c>
      <c r="AE88" s="14" t="s">
        <v>33</v>
      </c>
      <c r="AF88">
        <v>0</v>
      </c>
      <c r="AG88" s="14">
        <f>AF88*252</f>
        <v>0</v>
      </c>
      <c r="AH88" t="s">
        <v>33</v>
      </c>
      <c r="AI88" s="14" t="s">
        <v>33</v>
      </c>
      <c r="AJ88" t="s">
        <v>33</v>
      </c>
      <c r="AK88" s="14" t="s">
        <v>33</v>
      </c>
      <c r="AL88" t="s">
        <v>33</v>
      </c>
      <c r="AM88" s="14" t="s">
        <v>33</v>
      </c>
      <c r="AN88" t="s">
        <v>33</v>
      </c>
      <c r="AO88" s="14" t="s">
        <v>33</v>
      </c>
      <c r="AP88" t="s">
        <v>33</v>
      </c>
      <c r="AQ88" s="14" t="s">
        <v>33</v>
      </c>
      <c r="AR88" t="s">
        <v>33</v>
      </c>
      <c r="AS88" s="14" t="s">
        <v>33</v>
      </c>
      <c r="AT88" t="s">
        <v>33</v>
      </c>
      <c r="AU88" s="14" t="s">
        <v>33</v>
      </c>
      <c r="AV88" t="s">
        <v>33</v>
      </c>
      <c r="AW88" s="14" t="s">
        <v>33</v>
      </c>
      <c r="AX88" t="s">
        <v>33</v>
      </c>
      <c r="AY88" s="14" t="s">
        <v>33</v>
      </c>
      <c r="AZ88" t="s">
        <v>33</v>
      </c>
      <c r="BA88" s="14" t="s">
        <v>33</v>
      </c>
      <c r="BB88" t="s">
        <v>33</v>
      </c>
      <c r="BC88" s="14" t="s">
        <v>33</v>
      </c>
      <c r="BD88">
        <f t="shared" si="21"/>
        <v>124</v>
      </c>
      <c r="BE88">
        <f t="shared" si="22"/>
        <v>22902</v>
      </c>
      <c r="BF88">
        <f t="shared" si="23"/>
        <v>184.69354838709677</v>
      </c>
    </row>
    <row r="89" spans="1:59" x14ac:dyDescent="0.2">
      <c r="A89" t="s">
        <v>16</v>
      </c>
      <c r="B89" t="s">
        <v>7</v>
      </c>
      <c r="C89" t="s">
        <v>29</v>
      </c>
      <c r="D89">
        <v>0</v>
      </c>
      <c r="E89" s="14">
        <v>0</v>
      </c>
      <c r="F89">
        <v>3</v>
      </c>
      <c r="G89" s="14">
        <f t="shared" si="24"/>
        <v>522</v>
      </c>
      <c r="H89">
        <v>58</v>
      </c>
      <c r="I89" s="14">
        <f t="shared" si="13"/>
        <v>10440</v>
      </c>
      <c r="J89">
        <v>26</v>
      </c>
      <c r="K89" s="14">
        <f t="shared" si="14"/>
        <v>4836</v>
      </c>
      <c r="L89">
        <v>19</v>
      </c>
      <c r="M89" s="14">
        <f t="shared" si="15"/>
        <v>3648</v>
      </c>
      <c r="N89">
        <v>9</v>
      </c>
      <c r="O89" s="14">
        <f t="shared" si="16"/>
        <v>1782</v>
      </c>
      <c r="P89">
        <v>2</v>
      </c>
      <c r="Q89" s="14">
        <f t="shared" si="17"/>
        <v>408</v>
      </c>
      <c r="R89" t="s">
        <v>33</v>
      </c>
      <c r="S89" s="14" t="s">
        <v>33</v>
      </c>
      <c r="T89">
        <v>0</v>
      </c>
      <c r="U89" s="14">
        <f t="shared" si="19"/>
        <v>0</v>
      </c>
      <c r="V89" t="s">
        <v>33</v>
      </c>
      <c r="W89" s="14" t="s">
        <v>33</v>
      </c>
      <c r="X89">
        <v>1</v>
      </c>
      <c r="Y89" s="14">
        <f>X89*228</f>
        <v>228</v>
      </c>
      <c r="Z89" t="s">
        <v>33</v>
      </c>
      <c r="AA89" s="14" t="s">
        <v>33</v>
      </c>
      <c r="AB89" t="s">
        <v>33</v>
      </c>
      <c r="AC89" s="14" t="s">
        <v>33</v>
      </c>
      <c r="AD89" t="s">
        <v>33</v>
      </c>
      <c r="AE89" s="14" t="s">
        <v>33</v>
      </c>
      <c r="AF89" t="s">
        <v>33</v>
      </c>
      <c r="AG89" s="14" t="s">
        <v>33</v>
      </c>
      <c r="AH89" t="s">
        <v>33</v>
      </c>
      <c r="AI89" s="14" t="s">
        <v>33</v>
      </c>
      <c r="AJ89" t="s">
        <v>33</v>
      </c>
      <c r="AK89" s="14" t="s">
        <v>33</v>
      </c>
      <c r="AL89" t="s">
        <v>33</v>
      </c>
      <c r="AM89" s="14" t="s">
        <v>33</v>
      </c>
      <c r="AN89" t="s">
        <v>33</v>
      </c>
      <c r="AO89" s="14" t="s">
        <v>33</v>
      </c>
      <c r="AP89" t="s">
        <v>33</v>
      </c>
      <c r="AQ89" s="14" t="s">
        <v>33</v>
      </c>
      <c r="AR89" t="s">
        <v>33</v>
      </c>
      <c r="AS89" s="14" t="s">
        <v>33</v>
      </c>
      <c r="AT89" t="s">
        <v>33</v>
      </c>
      <c r="AU89" s="14" t="s">
        <v>33</v>
      </c>
      <c r="AV89" t="s">
        <v>33</v>
      </c>
      <c r="AW89" s="14" t="s">
        <v>33</v>
      </c>
      <c r="AX89" t="s">
        <v>33</v>
      </c>
      <c r="AY89" s="14" t="s">
        <v>33</v>
      </c>
      <c r="AZ89" t="s">
        <v>33</v>
      </c>
      <c r="BA89" s="14" t="s">
        <v>33</v>
      </c>
      <c r="BB89" t="s">
        <v>33</v>
      </c>
      <c r="BC89" s="14" t="s">
        <v>33</v>
      </c>
      <c r="BD89">
        <f t="shared" si="21"/>
        <v>118</v>
      </c>
      <c r="BE89">
        <f t="shared" si="22"/>
        <v>21864</v>
      </c>
      <c r="BF89">
        <f t="shared" si="23"/>
        <v>185.28813559322035</v>
      </c>
    </row>
    <row r="90" spans="1:59" x14ac:dyDescent="0.2">
      <c r="A90" t="s">
        <v>16</v>
      </c>
      <c r="B90" t="s">
        <v>7</v>
      </c>
      <c r="C90" t="s">
        <v>30</v>
      </c>
      <c r="D90">
        <v>1</v>
      </c>
      <c r="E90" s="14">
        <v>168</v>
      </c>
      <c r="F90">
        <v>2</v>
      </c>
      <c r="G90" s="14">
        <f t="shared" si="24"/>
        <v>348</v>
      </c>
      <c r="H90">
        <v>59</v>
      </c>
      <c r="I90" s="14">
        <f t="shared" si="13"/>
        <v>10620</v>
      </c>
      <c r="J90">
        <v>23</v>
      </c>
      <c r="K90" s="14">
        <f t="shared" si="14"/>
        <v>4278</v>
      </c>
      <c r="L90">
        <v>14</v>
      </c>
      <c r="M90" s="14">
        <f t="shared" si="15"/>
        <v>2688</v>
      </c>
      <c r="N90">
        <v>2</v>
      </c>
      <c r="O90" s="14">
        <f t="shared" si="16"/>
        <v>396</v>
      </c>
      <c r="P90">
        <v>0</v>
      </c>
      <c r="Q90" s="14">
        <f t="shared" si="17"/>
        <v>0</v>
      </c>
      <c r="R90" t="s">
        <v>33</v>
      </c>
      <c r="S90" s="14" t="s">
        <v>33</v>
      </c>
      <c r="T90">
        <v>1</v>
      </c>
      <c r="U90" s="14">
        <f t="shared" si="19"/>
        <v>216</v>
      </c>
      <c r="V90" t="s">
        <v>33</v>
      </c>
      <c r="W90" s="14" t="s">
        <v>33</v>
      </c>
      <c r="X90">
        <v>1</v>
      </c>
      <c r="Y90" s="14">
        <f>X90*228</f>
        <v>228</v>
      </c>
      <c r="Z90" t="s">
        <v>33</v>
      </c>
      <c r="AA90" s="14" t="s">
        <v>33</v>
      </c>
      <c r="AB90" t="s">
        <v>33</v>
      </c>
      <c r="AC90" s="14" t="s">
        <v>33</v>
      </c>
      <c r="AD90" t="s">
        <v>33</v>
      </c>
      <c r="AE90" s="14" t="s">
        <v>33</v>
      </c>
      <c r="AF90" t="s">
        <v>33</v>
      </c>
      <c r="AG90" s="14" t="s">
        <v>33</v>
      </c>
      <c r="AH90" t="s">
        <v>33</v>
      </c>
      <c r="AI90" s="14" t="s">
        <v>33</v>
      </c>
      <c r="AJ90" t="s">
        <v>33</v>
      </c>
      <c r="AK90" s="14" t="s">
        <v>33</v>
      </c>
      <c r="AL90" t="s">
        <v>33</v>
      </c>
      <c r="AM90" s="14" t="s">
        <v>33</v>
      </c>
      <c r="AN90" t="s">
        <v>33</v>
      </c>
      <c r="AO90" s="14" t="s">
        <v>33</v>
      </c>
      <c r="AP90" t="s">
        <v>33</v>
      </c>
      <c r="AQ90" s="14" t="s">
        <v>33</v>
      </c>
      <c r="AR90" t="s">
        <v>33</v>
      </c>
      <c r="AS90" s="14" t="s">
        <v>33</v>
      </c>
      <c r="AT90" t="s">
        <v>33</v>
      </c>
      <c r="AU90" s="14" t="s">
        <v>33</v>
      </c>
      <c r="AV90" t="s">
        <v>33</v>
      </c>
      <c r="AW90" s="14" t="s">
        <v>33</v>
      </c>
      <c r="AX90" t="s">
        <v>33</v>
      </c>
      <c r="AY90" s="14" t="s">
        <v>33</v>
      </c>
      <c r="AZ90" t="s">
        <v>33</v>
      </c>
      <c r="BA90" s="14" t="s">
        <v>33</v>
      </c>
      <c r="BB90" t="s">
        <v>33</v>
      </c>
      <c r="BC90" s="14" t="s">
        <v>33</v>
      </c>
      <c r="BD90">
        <f t="shared" si="21"/>
        <v>103</v>
      </c>
      <c r="BE90">
        <f t="shared" si="22"/>
        <v>18942</v>
      </c>
      <c r="BF90">
        <f t="shared" si="23"/>
        <v>183.90291262135923</v>
      </c>
    </row>
    <row r="91" spans="1:59" x14ac:dyDescent="0.2">
      <c r="A91" t="s">
        <v>16</v>
      </c>
      <c r="B91" t="s">
        <v>8</v>
      </c>
      <c r="C91" t="s">
        <v>29</v>
      </c>
      <c r="D91" t="s">
        <v>33</v>
      </c>
      <c r="E91" s="14" t="s">
        <v>33</v>
      </c>
      <c r="F91" t="s">
        <v>33</v>
      </c>
      <c r="G91" s="14" t="s">
        <v>33</v>
      </c>
      <c r="H91">
        <v>60</v>
      </c>
      <c r="I91" s="14">
        <f t="shared" si="13"/>
        <v>10800</v>
      </c>
      <c r="J91">
        <v>11</v>
      </c>
      <c r="K91" s="14">
        <f t="shared" si="14"/>
        <v>2046</v>
      </c>
      <c r="L91">
        <v>30</v>
      </c>
      <c r="M91" s="14">
        <f t="shared" si="15"/>
        <v>5760</v>
      </c>
      <c r="N91">
        <v>15</v>
      </c>
      <c r="O91" s="14">
        <f t="shared" si="16"/>
        <v>2970</v>
      </c>
      <c r="P91">
        <v>0</v>
      </c>
      <c r="Q91" s="14">
        <f t="shared" si="17"/>
        <v>0</v>
      </c>
      <c r="R91">
        <v>2</v>
      </c>
      <c r="S91" s="14">
        <f t="shared" si="18"/>
        <v>420</v>
      </c>
      <c r="T91">
        <v>0</v>
      </c>
      <c r="U91" s="14">
        <f t="shared" si="19"/>
        <v>0</v>
      </c>
      <c r="V91" t="s">
        <v>33</v>
      </c>
      <c r="W91" s="14" t="s">
        <v>33</v>
      </c>
      <c r="X91" t="s">
        <v>33</v>
      </c>
      <c r="Y91" s="14" t="s">
        <v>33</v>
      </c>
      <c r="Z91" t="s">
        <v>33</v>
      </c>
      <c r="AA91" s="14" t="s">
        <v>33</v>
      </c>
      <c r="AB91" t="s">
        <v>33</v>
      </c>
      <c r="AC91" s="14" t="s">
        <v>33</v>
      </c>
      <c r="AD91" t="s">
        <v>33</v>
      </c>
      <c r="AE91" s="14" t="s">
        <v>33</v>
      </c>
      <c r="AF91" t="s">
        <v>33</v>
      </c>
      <c r="AG91" s="14" t="s">
        <v>33</v>
      </c>
      <c r="AH91" t="s">
        <v>33</v>
      </c>
      <c r="AI91" s="14" t="s">
        <v>33</v>
      </c>
      <c r="AJ91" t="s">
        <v>33</v>
      </c>
      <c r="AK91" s="14" t="s">
        <v>33</v>
      </c>
      <c r="AL91" t="s">
        <v>33</v>
      </c>
      <c r="AM91" s="14" t="s">
        <v>33</v>
      </c>
      <c r="AN91" t="s">
        <v>33</v>
      </c>
      <c r="AO91" s="14" t="s">
        <v>33</v>
      </c>
      <c r="AP91" t="s">
        <v>33</v>
      </c>
      <c r="AQ91" s="14" t="s">
        <v>33</v>
      </c>
      <c r="AR91" t="s">
        <v>33</v>
      </c>
      <c r="AS91" s="14" t="s">
        <v>33</v>
      </c>
      <c r="AT91" t="s">
        <v>33</v>
      </c>
      <c r="AU91" s="14" t="s">
        <v>33</v>
      </c>
      <c r="AV91" t="s">
        <v>33</v>
      </c>
      <c r="AW91" s="14" t="s">
        <v>33</v>
      </c>
      <c r="AX91" t="s">
        <v>33</v>
      </c>
      <c r="AY91" s="14" t="s">
        <v>33</v>
      </c>
      <c r="AZ91" t="s">
        <v>33</v>
      </c>
      <c r="BA91" s="14" t="s">
        <v>33</v>
      </c>
      <c r="BB91" t="s">
        <v>33</v>
      </c>
      <c r="BC91" s="14" t="s">
        <v>33</v>
      </c>
      <c r="BD91">
        <f t="shared" si="21"/>
        <v>118</v>
      </c>
      <c r="BE91">
        <f t="shared" si="22"/>
        <v>21996</v>
      </c>
      <c r="BF91">
        <f t="shared" si="23"/>
        <v>186.40677966101694</v>
      </c>
    </row>
    <row r="92" spans="1:59" x14ac:dyDescent="0.2">
      <c r="A92" t="s">
        <v>16</v>
      </c>
      <c r="B92" t="s">
        <v>8</v>
      </c>
      <c r="C92" t="s">
        <v>30</v>
      </c>
      <c r="D92" t="s">
        <v>33</v>
      </c>
      <c r="E92" s="14" t="s">
        <v>33</v>
      </c>
      <c r="F92" t="s">
        <v>33</v>
      </c>
      <c r="G92" s="14" t="s">
        <v>33</v>
      </c>
      <c r="H92">
        <v>61</v>
      </c>
      <c r="I92" s="14">
        <f t="shared" si="13"/>
        <v>10980</v>
      </c>
      <c r="J92">
        <v>17</v>
      </c>
      <c r="K92" s="14">
        <f t="shared" si="14"/>
        <v>3162</v>
      </c>
      <c r="L92">
        <v>21</v>
      </c>
      <c r="M92" s="14">
        <f t="shared" si="15"/>
        <v>4032</v>
      </c>
      <c r="N92">
        <v>12</v>
      </c>
      <c r="O92" s="14">
        <f t="shared" si="16"/>
        <v>2376</v>
      </c>
      <c r="P92">
        <v>2</v>
      </c>
      <c r="Q92" s="14">
        <f t="shared" si="17"/>
        <v>408</v>
      </c>
      <c r="R92">
        <v>1</v>
      </c>
      <c r="S92" s="14">
        <f t="shared" si="18"/>
        <v>210</v>
      </c>
      <c r="T92">
        <v>1</v>
      </c>
      <c r="U92" s="14">
        <f t="shared" si="19"/>
        <v>216</v>
      </c>
      <c r="V92" t="s">
        <v>33</v>
      </c>
      <c r="W92" s="14" t="s">
        <v>33</v>
      </c>
      <c r="X92" t="s">
        <v>33</v>
      </c>
      <c r="Y92" s="14" t="s">
        <v>33</v>
      </c>
      <c r="Z92" t="s">
        <v>33</v>
      </c>
      <c r="AA92" s="14" t="s">
        <v>33</v>
      </c>
      <c r="AB92" t="s">
        <v>33</v>
      </c>
      <c r="AC92" s="14" t="s">
        <v>33</v>
      </c>
      <c r="AD92" t="s">
        <v>33</v>
      </c>
      <c r="AE92" s="14" t="s">
        <v>33</v>
      </c>
      <c r="AF92" t="s">
        <v>33</v>
      </c>
      <c r="AG92" s="14" t="s">
        <v>33</v>
      </c>
      <c r="AH92" t="s">
        <v>33</v>
      </c>
      <c r="AI92" s="14" t="s">
        <v>33</v>
      </c>
      <c r="AJ92" t="s">
        <v>33</v>
      </c>
      <c r="AK92" s="14" t="s">
        <v>33</v>
      </c>
      <c r="AL92" t="s">
        <v>33</v>
      </c>
      <c r="AM92" s="14" t="s">
        <v>33</v>
      </c>
      <c r="AN92" t="s">
        <v>33</v>
      </c>
      <c r="AO92" s="14" t="s">
        <v>33</v>
      </c>
      <c r="AP92" t="s">
        <v>33</v>
      </c>
      <c r="AQ92" s="14" t="s">
        <v>33</v>
      </c>
      <c r="AR92" t="s">
        <v>33</v>
      </c>
      <c r="AS92" s="14" t="s">
        <v>33</v>
      </c>
      <c r="AT92" t="s">
        <v>33</v>
      </c>
      <c r="AU92" s="14" t="s">
        <v>33</v>
      </c>
      <c r="AV92" t="s">
        <v>33</v>
      </c>
      <c r="AW92" s="14" t="s">
        <v>33</v>
      </c>
      <c r="AX92" t="s">
        <v>33</v>
      </c>
      <c r="AY92" s="14" t="s">
        <v>33</v>
      </c>
      <c r="AZ92" t="s">
        <v>33</v>
      </c>
      <c r="BA92" s="14" t="s">
        <v>33</v>
      </c>
      <c r="BB92" t="s">
        <v>33</v>
      </c>
      <c r="BC92" s="14" t="s">
        <v>33</v>
      </c>
      <c r="BD92">
        <f t="shared" si="21"/>
        <v>115</v>
      </c>
      <c r="BE92">
        <f t="shared" si="22"/>
        <v>21384</v>
      </c>
      <c r="BF92">
        <f t="shared" si="23"/>
        <v>185.94782608695652</v>
      </c>
    </row>
    <row r="93" spans="1:59" x14ac:dyDescent="0.2">
      <c r="A93" t="s">
        <v>17</v>
      </c>
      <c r="B93" t="s">
        <v>4</v>
      </c>
      <c r="C93" t="s">
        <v>29</v>
      </c>
      <c r="D93" t="s">
        <v>33</v>
      </c>
      <c r="E93" s="14" t="s">
        <v>33</v>
      </c>
      <c r="F93">
        <v>0</v>
      </c>
      <c r="G93" s="14">
        <f t="shared" si="24"/>
        <v>0</v>
      </c>
      <c r="H93">
        <v>62</v>
      </c>
      <c r="I93" s="14">
        <f t="shared" si="13"/>
        <v>11160</v>
      </c>
      <c r="J93">
        <v>15</v>
      </c>
      <c r="K93" s="14">
        <f t="shared" si="14"/>
        <v>2790</v>
      </c>
      <c r="L93">
        <v>10</v>
      </c>
      <c r="M93" s="14">
        <f t="shared" si="15"/>
        <v>1920</v>
      </c>
      <c r="N93">
        <v>3</v>
      </c>
      <c r="O93" s="14">
        <f t="shared" si="16"/>
        <v>594</v>
      </c>
      <c r="P93" t="s">
        <v>33</v>
      </c>
      <c r="Q93" s="14" t="s">
        <v>33</v>
      </c>
      <c r="R93" t="s">
        <v>33</v>
      </c>
      <c r="S93" s="14" t="s">
        <v>33</v>
      </c>
      <c r="T93" t="s">
        <v>33</v>
      </c>
      <c r="U93" s="14" t="s">
        <v>33</v>
      </c>
      <c r="V93" t="s">
        <v>33</v>
      </c>
      <c r="W93" s="14" t="s">
        <v>33</v>
      </c>
      <c r="X93" t="s">
        <v>33</v>
      </c>
      <c r="Y93" s="14" t="s">
        <v>33</v>
      </c>
      <c r="Z93">
        <v>0</v>
      </c>
      <c r="AA93" s="14">
        <f t="shared" si="20"/>
        <v>0</v>
      </c>
      <c r="AB93" t="s">
        <v>33</v>
      </c>
      <c r="AC93" s="14" t="s">
        <v>33</v>
      </c>
      <c r="AD93" t="s">
        <v>33</v>
      </c>
      <c r="AE93" s="14" t="s">
        <v>33</v>
      </c>
      <c r="AF93" t="s">
        <v>33</v>
      </c>
      <c r="AG93" s="14" t="s">
        <v>33</v>
      </c>
      <c r="AH93" t="s">
        <v>33</v>
      </c>
      <c r="AI93" s="14" t="s">
        <v>33</v>
      </c>
      <c r="AJ93">
        <v>1</v>
      </c>
      <c r="AK93" s="14">
        <f>AJ93*264</f>
        <v>264</v>
      </c>
      <c r="AL93" t="s">
        <v>33</v>
      </c>
      <c r="AM93" s="14" t="s">
        <v>33</v>
      </c>
      <c r="AN93" t="s">
        <v>33</v>
      </c>
      <c r="AO93" s="14" t="s">
        <v>33</v>
      </c>
      <c r="AP93" t="s">
        <v>33</v>
      </c>
      <c r="AQ93" s="14" t="s">
        <v>33</v>
      </c>
      <c r="AR93" t="s">
        <v>33</v>
      </c>
      <c r="AS93" s="14" t="s">
        <v>33</v>
      </c>
      <c r="AT93" t="s">
        <v>33</v>
      </c>
      <c r="AU93" s="14" t="s">
        <v>33</v>
      </c>
      <c r="AV93" t="s">
        <v>33</v>
      </c>
      <c r="AW93" s="14" t="s">
        <v>33</v>
      </c>
      <c r="AX93" t="s">
        <v>33</v>
      </c>
      <c r="AY93" s="14" t="s">
        <v>33</v>
      </c>
      <c r="AZ93" t="s">
        <v>33</v>
      </c>
      <c r="BA93" s="14" t="s">
        <v>33</v>
      </c>
      <c r="BB93" t="s">
        <v>33</v>
      </c>
      <c r="BC93" s="14" t="s">
        <v>33</v>
      </c>
      <c r="BD93">
        <f t="shared" si="21"/>
        <v>91</v>
      </c>
      <c r="BE93">
        <f t="shared" si="22"/>
        <v>16728</v>
      </c>
      <c r="BF93">
        <f t="shared" si="23"/>
        <v>183.82417582417582</v>
      </c>
    </row>
    <row r="94" spans="1:59" x14ac:dyDescent="0.2">
      <c r="A94" t="s">
        <v>17</v>
      </c>
      <c r="B94" t="s">
        <v>4</v>
      </c>
      <c r="C94" t="s">
        <v>30</v>
      </c>
      <c r="D94" t="s">
        <v>33</v>
      </c>
      <c r="E94" s="14" t="s">
        <v>33</v>
      </c>
      <c r="F94">
        <v>3</v>
      </c>
      <c r="G94" s="14">
        <f t="shared" si="24"/>
        <v>522</v>
      </c>
      <c r="H94">
        <v>63</v>
      </c>
      <c r="I94" s="14">
        <f t="shared" si="13"/>
        <v>11340</v>
      </c>
      <c r="J94">
        <v>14</v>
      </c>
      <c r="K94" s="14">
        <f t="shared" si="14"/>
        <v>2604</v>
      </c>
      <c r="L94">
        <v>5</v>
      </c>
      <c r="M94" s="14">
        <f t="shared" si="15"/>
        <v>960</v>
      </c>
      <c r="N94">
        <v>0</v>
      </c>
      <c r="O94" s="14">
        <f t="shared" si="16"/>
        <v>0</v>
      </c>
      <c r="P94" t="s">
        <v>33</v>
      </c>
      <c r="Q94" s="14" t="s">
        <v>33</v>
      </c>
      <c r="R94" t="s">
        <v>33</v>
      </c>
      <c r="S94" s="14" t="s">
        <v>33</v>
      </c>
      <c r="T94" t="s">
        <v>33</v>
      </c>
      <c r="U94" s="14" t="s">
        <v>33</v>
      </c>
      <c r="V94" t="s">
        <v>33</v>
      </c>
      <c r="W94" s="14" t="s">
        <v>33</v>
      </c>
      <c r="X94" t="s">
        <v>33</v>
      </c>
      <c r="Y94" s="14" t="s">
        <v>33</v>
      </c>
      <c r="Z94">
        <v>1</v>
      </c>
      <c r="AA94" s="14">
        <f t="shared" si="20"/>
        <v>234</v>
      </c>
      <c r="AB94" t="s">
        <v>33</v>
      </c>
      <c r="AC94" s="14" t="s">
        <v>33</v>
      </c>
      <c r="AD94" t="s">
        <v>33</v>
      </c>
      <c r="AE94" s="14" t="s">
        <v>33</v>
      </c>
      <c r="AF94" t="s">
        <v>33</v>
      </c>
      <c r="AG94" s="14" t="s">
        <v>33</v>
      </c>
      <c r="AH94" t="s">
        <v>33</v>
      </c>
      <c r="AI94" s="14" t="s">
        <v>33</v>
      </c>
      <c r="AJ94">
        <v>0</v>
      </c>
      <c r="AK94" s="14">
        <f>AJ94*264</f>
        <v>0</v>
      </c>
      <c r="AL94" t="s">
        <v>33</v>
      </c>
      <c r="AM94" s="14" t="s">
        <v>33</v>
      </c>
      <c r="AN94" t="s">
        <v>33</v>
      </c>
      <c r="AO94" s="14" t="s">
        <v>33</v>
      </c>
      <c r="AP94" t="s">
        <v>33</v>
      </c>
      <c r="AQ94" s="14" t="s">
        <v>33</v>
      </c>
      <c r="AR94" t="s">
        <v>33</v>
      </c>
      <c r="AS94" s="14" t="s">
        <v>33</v>
      </c>
      <c r="AT94" t="s">
        <v>33</v>
      </c>
      <c r="AU94" s="14" t="s">
        <v>33</v>
      </c>
      <c r="AV94" t="s">
        <v>33</v>
      </c>
      <c r="AW94" s="14" t="s">
        <v>33</v>
      </c>
      <c r="AX94" t="s">
        <v>33</v>
      </c>
      <c r="AY94" s="14" t="s">
        <v>33</v>
      </c>
      <c r="AZ94" t="s">
        <v>33</v>
      </c>
      <c r="BA94" s="14" t="s">
        <v>33</v>
      </c>
      <c r="BB94" t="s">
        <v>33</v>
      </c>
      <c r="BC94" s="14" t="s">
        <v>33</v>
      </c>
      <c r="BD94">
        <f t="shared" si="21"/>
        <v>86</v>
      </c>
      <c r="BE94">
        <f t="shared" si="22"/>
        <v>15660</v>
      </c>
      <c r="BF94">
        <f t="shared" si="23"/>
        <v>182.09302325581396</v>
      </c>
    </row>
    <row r="95" spans="1:59" x14ac:dyDescent="0.2">
      <c r="A95" t="s">
        <v>17</v>
      </c>
      <c r="B95" t="s">
        <v>5</v>
      </c>
      <c r="C95" t="s">
        <v>29</v>
      </c>
      <c r="D95">
        <v>0</v>
      </c>
      <c r="E95" s="14">
        <v>0</v>
      </c>
      <c r="F95">
        <v>0</v>
      </c>
      <c r="G95" s="14">
        <f t="shared" si="24"/>
        <v>0</v>
      </c>
      <c r="H95">
        <v>64</v>
      </c>
      <c r="I95" s="14">
        <f t="shared" si="13"/>
        <v>11520</v>
      </c>
      <c r="J95">
        <v>23</v>
      </c>
      <c r="K95" s="14">
        <f t="shared" si="14"/>
        <v>4278</v>
      </c>
      <c r="L95" t="s">
        <v>33</v>
      </c>
      <c r="M95" s="14" t="s">
        <v>33</v>
      </c>
      <c r="N95">
        <v>3</v>
      </c>
      <c r="O95" s="14">
        <f t="shared" si="16"/>
        <v>594</v>
      </c>
      <c r="P95" t="s">
        <v>33</v>
      </c>
      <c r="Q95" s="14" t="s">
        <v>33</v>
      </c>
      <c r="R95" t="s">
        <v>33</v>
      </c>
      <c r="S95" s="14" t="s">
        <v>33</v>
      </c>
      <c r="T95" t="s">
        <v>33</v>
      </c>
      <c r="U95" s="14" t="s">
        <v>33</v>
      </c>
      <c r="V95" t="s">
        <v>33</v>
      </c>
      <c r="W95" s="14" t="s">
        <v>33</v>
      </c>
      <c r="X95" t="s">
        <v>33</v>
      </c>
      <c r="Y95" s="14" t="s">
        <v>33</v>
      </c>
      <c r="Z95" t="s">
        <v>33</v>
      </c>
      <c r="AA95" s="14" t="s">
        <v>33</v>
      </c>
      <c r="AB95" t="s">
        <v>33</v>
      </c>
      <c r="AC95" s="14" t="s">
        <v>33</v>
      </c>
      <c r="AD95" t="s">
        <v>33</v>
      </c>
      <c r="AE95" s="14" t="s">
        <v>33</v>
      </c>
      <c r="AF95" t="s">
        <v>33</v>
      </c>
      <c r="AG95" s="14" t="s">
        <v>33</v>
      </c>
      <c r="AH95" t="s">
        <v>33</v>
      </c>
      <c r="AI95" s="14" t="s">
        <v>33</v>
      </c>
      <c r="AJ95" t="s">
        <v>33</v>
      </c>
      <c r="AK95" s="14" t="s">
        <v>33</v>
      </c>
      <c r="AL95" t="s">
        <v>33</v>
      </c>
      <c r="AM95" s="14" t="s">
        <v>33</v>
      </c>
      <c r="AN95" t="s">
        <v>33</v>
      </c>
      <c r="AO95" s="14" t="s">
        <v>33</v>
      </c>
      <c r="AP95" t="s">
        <v>33</v>
      </c>
      <c r="AQ95" s="14" t="s">
        <v>33</v>
      </c>
      <c r="AR95" t="s">
        <v>33</v>
      </c>
      <c r="AS95" s="14" t="s">
        <v>33</v>
      </c>
      <c r="AT95" t="s">
        <v>33</v>
      </c>
      <c r="AU95" s="14" t="s">
        <v>33</v>
      </c>
      <c r="AV95" t="s">
        <v>33</v>
      </c>
      <c r="AW95" s="14" t="s">
        <v>33</v>
      </c>
      <c r="AX95" t="s">
        <v>33</v>
      </c>
      <c r="AY95" s="14" t="s">
        <v>33</v>
      </c>
      <c r="AZ95" t="s">
        <v>33</v>
      </c>
      <c r="BA95" s="14" t="s">
        <v>33</v>
      </c>
      <c r="BB95" t="s">
        <v>33</v>
      </c>
      <c r="BC95" s="14" t="s">
        <v>33</v>
      </c>
      <c r="BD95">
        <f t="shared" si="21"/>
        <v>90</v>
      </c>
      <c r="BE95">
        <f t="shared" si="22"/>
        <v>16392</v>
      </c>
      <c r="BF95">
        <f t="shared" si="23"/>
        <v>182.13333333333333</v>
      </c>
    </row>
    <row r="96" spans="1:59" x14ac:dyDescent="0.2">
      <c r="A96" t="s">
        <v>17</v>
      </c>
      <c r="B96" t="s">
        <v>5</v>
      </c>
      <c r="C96" t="s">
        <v>30</v>
      </c>
      <c r="D96">
        <v>1</v>
      </c>
      <c r="E96" s="14">
        <v>168</v>
      </c>
      <c r="F96">
        <v>5</v>
      </c>
      <c r="G96" s="14">
        <f t="shared" si="24"/>
        <v>870</v>
      </c>
      <c r="H96">
        <v>65</v>
      </c>
      <c r="I96" s="14">
        <f t="shared" si="13"/>
        <v>11700</v>
      </c>
      <c r="J96">
        <v>13</v>
      </c>
      <c r="K96" s="14">
        <f t="shared" si="14"/>
        <v>2418</v>
      </c>
      <c r="L96" t="s">
        <v>33</v>
      </c>
      <c r="M96" s="14" t="s">
        <v>33</v>
      </c>
      <c r="N96">
        <v>0</v>
      </c>
      <c r="O96" s="14">
        <f t="shared" si="16"/>
        <v>0</v>
      </c>
      <c r="P96" t="s">
        <v>33</v>
      </c>
      <c r="Q96" s="14" t="s">
        <v>33</v>
      </c>
      <c r="R96" t="s">
        <v>33</v>
      </c>
      <c r="S96" s="14" t="s">
        <v>33</v>
      </c>
      <c r="T96" t="s">
        <v>33</v>
      </c>
      <c r="U96" s="14" t="s">
        <v>33</v>
      </c>
      <c r="V96" t="s">
        <v>33</v>
      </c>
      <c r="W96" s="14" t="s">
        <v>33</v>
      </c>
      <c r="X96" t="s">
        <v>33</v>
      </c>
      <c r="Y96" s="14" t="s">
        <v>33</v>
      </c>
      <c r="Z96" t="s">
        <v>33</v>
      </c>
      <c r="AA96" s="14" t="s">
        <v>33</v>
      </c>
      <c r="AB96" t="s">
        <v>33</v>
      </c>
      <c r="AC96" s="14" t="s">
        <v>33</v>
      </c>
      <c r="AD96" t="s">
        <v>33</v>
      </c>
      <c r="AE96" s="14" t="s">
        <v>33</v>
      </c>
      <c r="AF96" t="s">
        <v>33</v>
      </c>
      <c r="AG96" s="14" t="s">
        <v>33</v>
      </c>
      <c r="AH96" t="s">
        <v>33</v>
      </c>
      <c r="AI96" s="14" t="s">
        <v>33</v>
      </c>
      <c r="AJ96" t="s">
        <v>33</v>
      </c>
      <c r="AK96" s="14" t="s">
        <v>33</v>
      </c>
      <c r="AL96" t="s">
        <v>33</v>
      </c>
      <c r="AM96" s="14" t="s">
        <v>33</v>
      </c>
      <c r="AN96" t="s">
        <v>33</v>
      </c>
      <c r="AO96" s="14" t="s">
        <v>33</v>
      </c>
      <c r="AP96" t="s">
        <v>33</v>
      </c>
      <c r="AQ96" s="14" t="s">
        <v>33</v>
      </c>
      <c r="AR96" t="s">
        <v>33</v>
      </c>
      <c r="AS96" s="14" t="s">
        <v>33</v>
      </c>
      <c r="AT96" t="s">
        <v>33</v>
      </c>
      <c r="AU96" s="14" t="s">
        <v>33</v>
      </c>
      <c r="AV96" t="s">
        <v>33</v>
      </c>
      <c r="AW96" s="14" t="s">
        <v>33</v>
      </c>
      <c r="AX96" t="s">
        <v>33</v>
      </c>
      <c r="AY96" s="14" t="s">
        <v>33</v>
      </c>
      <c r="AZ96" t="s">
        <v>33</v>
      </c>
      <c r="BA96" s="14" t="s">
        <v>33</v>
      </c>
      <c r="BB96" t="s">
        <v>33</v>
      </c>
      <c r="BC96" s="14" t="s">
        <v>33</v>
      </c>
      <c r="BD96">
        <f t="shared" si="21"/>
        <v>84</v>
      </c>
      <c r="BE96">
        <f t="shared" si="22"/>
        <v>15156</v>
      </c>
      <c r="BF96">
        <f t="shared" si="23"/>
        <v>180.42857142857142</v>
      </c>
    </row>
    <row r="97" spans="1:59" x14ac:dyDescent="0.2">
      <c r="A97" t="s">
        <v>17</v>
      </c>
      <c r="B97" t="s">
        <v>6</v>
      </c>
      <c r="C97" t="s">
        <v>29</v>
      </c>
      <c r="D97">
        <v>0</v>
      </c>
      <c r="E97" s="14">
        <v>0</v>
      </c>
      <c r="F97">
        <v>0</v>
      </c>
      <c r="G97" s="14">
        <f t="shared" si="24"/>
        <v>0</v>
      </c>
      <c r="H97">
        <v>66</v>
      </c>
      <c r="I97" s="14">
        <f t="shared" si="13"/>
        <v>11880</v>
      </c>
      <c r="J97">
        <v>16</v>
      </c>
      <c r="K97" s="14">
        <f t="shared" si="14"/>
        <v>2976</v>
      </c>
      <c r="L97">
        <v>8</v>
      </c>
      <c r="M97" s="14">
        <f t="shared" si="15"/>
        <v>1536</v>
      </c>
      <c r="N97" t="s">
        <v>33</v>
      </c>
      <c r="O97" s="14" t="s">
        <v>33</v>
      </c>
      <c r="P97" t="s">
        <v>33</v>
      </c>
      <c r="Q97" s="14" t="s">
        <v>33</v>
      </c>
      <c r="R97" t="s">
        <v>33</v>
      </c>
      <c r="S97" s="14" t="s">
        <v>33</v>
      </c>
      <c r="T97">
        <v>1</v>
      </c>
      <c r="U97" s="14">
        <f t="shared" si="19"/>
        <v>216</v>
      </c>
      <c r="V97" t="s">
        <v>33</v>
      </c>
      <c r="W97" s="14" t="s">
        <v>33</v>
      </c>
      <c r="X97" t="s">
        <v>33</v>
      </c>
      <c r="Y97" s="14" t="s">
        <v>33</v>
      </c>
      <c r="Z97">
        <v>1</v>
      </c>
      <c r="AA97" s="14">
        <f t="shared" si="20"/>
        <v>234</v>
      </c>
      <c r="AB97" t="s">
        <v>33</v>
      </c>
      <c r="AC97" s="14" t="s">
        <v>33</v>
      </c>
      <c r="AD97" t="s">
        <v>33</v>
      </c>
      <c r="AE97" s="14" t="s">
        <v>33</v>
      </c>
      <c r="AF97" t="s">
        <v>33</v>
      </c>
      <c r="AG97" s="14" t="s">
        <v>33</v>
      </c>
      <c r="AH97" t="s">
        <v>33</v>
      </c>
      <c r="AI97" s="14" t="s">
        <v>33</v>
      </c>
      <c r="AJ97" t="s">
        <v>33</v>
      </c>
      <c r="AK97" s="14" t="s">
        <v>33</v>
      </c>
      <c r="AL97" t="s">
        <v>33</v>
      </c>
      <c r="AM97" s="14" t="s">
        <v>33</v>
      </c>
      <c r="AN97" t="s">
        <v>33</v>
      </c>
      <c r="AO97" s="14" t="s">
        <v>33</v>
      </c>
      <c r="AP97" t="s">
        <v>33</v>
      </c>
      <c r="AQ97" s="14" t="s">
        <v>33</v>
      </c>
      <c r="AR97" t="s">
        <v>33</v>
      </c>
      <c r="AS97" s="14" t="s">
        <v>33</v>
      </c>
      <c r="AT97" t="s">
        <v>33</v>
      </c>
      <c r="AU97" s="14" t="s">
        <v>33</v>
      </c>
      <c r="AV97" t="s">
        <v>33</v>
      </c>
      <c r="AW97" s="14" t="s">
        <v>33</v>
      </c>
      <c r="AX97" t="s">
        <v>33</v>
      </c>
      <c r="AY97" s="14" t="s">
        <v>33</v>
      </c>
      <c r="AZ97" t="s">
        <v>33</v>
      </c>
      <c r="BA97" s="14" t="s">
        <v>33</v>
      </c>
      <c r="BB97" t="s">
        <v>33</v>
      </c>
      <c r="BC97" s="14" t="s">
        <v>33</v>
      </c>
      <c r="BD97">
        <f t="shared" si="21"/>
        <v>92</v>
      </c>
      <c r="BE97">
        <f t="shared" si="22"/>
        <v>16842</v>
      </c>
      <c r="BF97">
        <f t="shared" si="23"/>
        <v>183.06521739130434</v>
      </c>
    </row>
    <row r="98" spans="1:59" x14ac:dyDescent="0.2">
      <c r="A98" t="s">
        <v>17</v>
      </c>
      <c r="B98" t="s">
        <v>6</v>
      </c>
      <c r="C98" t="s">
        <v>30</v>
      </c>
      <c r="D98">
        <v>1</v>
      </c>
      <c r="E98" s="14">
        <v>168</v>
      </c>
      <c r="F98">
        <v>5</v>
      </c>
      <c r="G98" s="14">
        <f t="shared" si="24"/>
        <v>870</v>
      </c>
      <c r="H98">
        <v>67</v>
      </c>
      <c r="I98" s="14">
        <f t="shared" si="13"/>
        <v>12060</v>
      </c>
      <c r="J98">
        <v>3</v>
      </c>
      <c r="K98" s="14">
        <f t="shared" si="14"/>
        <v>558</v>
      </c>
      <c r="L98">
        <v>1</v>
      </c>
      <c r="M98" s="14">
        <f t="shared" si="15"/>
        <v>192</v>
      </c>
      <c r="N98" t="s">
        <v>33</v>
      </c>
      <c r="O98" s="14" t="s">
        <v>33</v>
      </c>
      <c r="P98" t="s">
        <v>33</v>
      </c>
      <c r="Q98" s="14" t="s">
        <v>33</v>
      </c>
      <c r="R98" t="s">
        <v>33</v>
      </c>
      <c r="S98" s="14" t="s">
        <v>33</v>
      </c>
      <c r="T98">
        <v>0</v>
      </c>
      <c r="U98" s="14">
        <f t="shared" si="19"/>
        <v>0</v>
      </c>
      <c r="V98" t="s">
        <v>33</v>
      </c>
      <c r="W98" s="14" t="s">
        <v>33</v>
      </c>
      <c r="X98" t="s">
        <v>33</v>
      </c>
      <c r="Y98" s="14" t="s">
        <v>33</v>
      </c>
      <c r="Z98">
        <v>0</v>
      </c>
      <c r="AA98" s="14">
        <f t="shared" si="20"/>
        <v>0</v>
      </c>
      <c r="AB98" t="s">
        <v>33</v>
      </c>
      <c r="AC98" s="14" t="s">
        <v>33</v>
      </c>
      <c r="AD98" t="s">
        <v>33</v>
      </c>
      <c r="AE98" s="14" t="s">
        <v>33</v>
      </c>
      <c r="AF98" t="s">
        <v>33</v>
      </c>
      <c r="AG98" s="14" t="s">
        <v>33</v>
      </c>
      <c r="AH98" t="s">
        <v>33</v>
      </c>
      <c r="AI98" s="14" t="s">
        <v>33</v>
      </c>
      <c r="AJ98" t="s">
        <v>33</v>
      </c>
      <c r="AK98" s="14" t="s">
        <v>33</v>
      </c>
      <c r="AL98" t="s">
        <v>33</v>
      </c>
      <c r="AM98" s="14" t="s">
        <v>33</v>
      </c>
      <c r="AN98" t="s">
        <v>33</v>
      </c>
      <c r="AO98" s="14" t="s">
        <v>33</v>
      </c>
      <c r="AP98" t="s">
        <v>33</v>
      </c>
      <c r="AQ98" s="14" t="s">
        <v>33</v>
      </c>
      <c r="AR98" t="s">
        <v>33</v>
      </c>
      <c r="AS98" s="14" t="s">
        <v>33</v>
      </c>
      <c r="AT98" t="s">
        <v>33</v>
      </c>
      <c r="AU98" s="14" t="s">
        <v>33</v>
      </c>
      <c r="AV98" t="s">
        <v>33</v>
      </c>
      <c r="AW98" s="14" t="s">
        <v>33</v>
      </c>
      <c r="AX98" t="s">
        <v>33</v>
      </c>
      <c r="AY98" s="14" t="s">
        <v>33</v>
      </c>
      <c r="AZ98" t="s">
        <v>33</v>
      </c>
      <c r="BA98" s="14" t="s">
        <v>33</v>
      </c>
      <c r="BB98" t="s">
        <v>33</v>
      </c>
      <c r="BC98" s="14" t="s">
        <v>33</v>
      </c>
      <c r="BD98">
        <f t="shared" si="21"/>
        <v>77</v>
      </c>
      <c r="BE98">
        <f t="shared" si="22"/>
        <v>13848</v>
      </c>
      <c r="BF98">
        <f t="shared" si="23"/>
        <v>179.84415584415584</v>
      </c>
    </row>
    <row r="99" spans="1:59" x14ac:dyDescent="0.2">
      <c r="A99" t="s">
        <v>17</v>
      </c>
      <c r="B99" t="s">
        <v>7</v>
      </c>
      <c r="C99" t="s">
        <v>29</v>
      </c>
      <c r="D99">
        <v>0</v>
      </c>
      <c r="E99" s="14">
        <v>0</v>
      </c>
      <c r="F99">
        <v>0</v>
      </c>
      <c r="G99" s="14">
        <f t="shared" si="24"/>
        <v>0</v>
      </c>
      <c r="H99">
        <v>68</v>
      </c>
      <c r="I99" s="14">
        <f t="shared" si="13"/>
        <v>12240</v>
      </c>
      <c r="J99">
        <v>14</v>
      </c>
      <c r="K99" s="14">
        <f t="shared" si="14"/>
        <v>2604</v>
      </c>
      <c r="L99">
        <v>17</v>
      </c>
      <c r="M99" s="14">
        <f t="shared" si="15"/>
        <v>3264</v>
      </c>
      <c r="N99" t="s">
        <v>33</v>
      </c>
      <c r="O99" s="14" t="s">
        <v>33</v>
      </c>
      <c r="P99" t="s">
        <v>33</v>
      </c>
      <c r="Q99" s="14" t="s">
        <v>33</v>
      </c>
      <c r="R99" t="s">
        <v>33</v>
      </c>
      <c r="S99" s="14" t="s">
        <v>33</v>
      </c>
      <c r="T99" t="s">
        <v>33</v>
      </c>
      <c r="U99" s="14" t="s">
        <v>33</v>
      </c>
      <c r="V99" t="s">
        <v>33</v>
      </c>
      <c r="W99" s="14" t="s">
        <v>33</v>
      </c>
      <c r="X99" t="s">
        <v>33</v>
      </c>
      <c r="Y99" s="14" t="s">
        <v>33</v>
      </c>
      <c r="Z99" t="s">
        <v>33</v>
      </c>
      <c r="AA99" s="14" t="s">
        <v>33</v>
      </c>
      <c r="AB99" t="s">
        <v>33</v>
      </c>
      <c r="AC99" s="14" t="s">
        <v>33</v>
      </c>
      <c r="AD99" t="s">
        <v>33</v>
      </c>
      <c r="AE99" s="14" t="s">
        <v>33</v>
      </c>
      <c r="AF99" t="s">
        <v>33</v>
      </c>
      <c r="AG99" s="14" t="s">
        <v>33</v>
      </c>
      <c r="AH99" t="s">
        <v>33</v>
      </c>
      <c r="AI99" s="14" t="s">
        <v>33</v>
      </c>
      <c r="AJ99" t="s">
        <v>33</v>
      </c>
      <c r="AK99" s="14" t="s">
        <v>33</v>
      </c>
      <c r="AL99" t="s">
        <v>33</v>
      </c>
      <c r="AM99" s="14" t="s">
        <v>33</v>
      </c>
      <c r="AN99" t="s">
        <v>33</v>
      </c>
      <c r="AO99" s="14" t="s">
        <v>33</v>
      </c>
      <c r="AP99" t="s">
        <v>33</v>
      </c>
      <c r="AQ99" s="14" t="s">
        <v>33</v>
      </c>
      <c r="AR99" t="s">
        <v>33</v>
      </c>
      <c r="AS99" s="14" t="s">
        <v>33</v>
      </c>
      <c r="AT99" t="s">
        <v>33</v>
      </c>
      <c r="AU99" s="14" t="s">
        <v>33</v>
      </c>
      <c r="AV99" t="s">
        <v>33</v>
      </c>
      <c r="AW99" s="14" t="s">
        <v>33</v>
      </c>
      <c r="AX99" t="s">
        <v>33</v>
      </c>
      <c r="AY99" s="14" t="s">
        <v>33</v>
      </c>
      <c r="AZ99" t="s">
        <v>33</v>
      </c>
      <c r="BA99" s="14" t="s">
        <v>33</v>
      </c>
      <c r="BB99" t="s">
        <v>33</v>
      </c>
      <c r="BC99" s="14" t="s">
        <v>33</v>
      </c>
      <c r="BD99">
        <f t="shared" si="21"/>
        <v>99</v>
      </c>
      <c r="BE99">
        <f t="shared" si="22"/>
        <v>18108</v>
      </c>
      <c r="BF99">
        <f t="shared" si="23"/>
        <v>182.90909090909091</v>
      </c>
    </row>
    <row r="100" spans="1:59" x14ac:dyDescent="0.2">
      <c r="A100" t="s">
        <v>17</v>
      </c>
      <c r="B100" t="s">
        <v>7</v>
      </c>
      <c r="C100" t="s">
        <v>30</v>
      </c>
      <c r="D100">
        <v>1</v>
      </c>
      <c r="E100" s="14">
        <v>168</v>
      </c>
      <c r="F100">
        <v>5</v>
      </c>
      <c r="G100" s="14">
        <f t="shared" si="24"/>
        <v>870</v>
      </c>
      <c r="H100">
        <v>69</v>
      </c>
      <c r="I100" s="14">
        <f t="shared" si="13"/>
        <v>12420</v>
      </c>
      <c r="J100">
        <v>19</v>
      </c>
      <c r="K100" s="14">
        <f t="shared" si="14"/>
        <v>3534</v>
      </c>
      <c r="L100">
        <v>3</v>
      </c>
      <c r="M100" s="14">
        <f t="shared" si="15"/>
        <v>576</v>
      </c>
      <c r="N100" t="s">
        <v>33</v>
      </c>
      <c r="O100" s="14" t="s">
        <v>33</v>
      </c>
      <c r="P100" t="s">
        <v>33</v>
      </c>
      <c r="Q100" s="14" t="s">
        <v>33</v>
      </c>
      <c r="R100" t="s">
        <v>33</v>
      </c>
      <c r="S100" s="14" t="s">
        <v>33</v>
      </c>
      <c r="T100" t="s">
        <v>33</v>
      </c>
      <c r="U100" s="14" t="s">
        <v>33</v>
      </c>
      <c r="V100" t="s">
        <v>33</v>
      </c>
      <c r="W100" s="14" t="s">
        <v>33</v>
      </c>
      <c r="X100" t="s">
        <v>33</v>
      </c>
      <c r="Y100" s="14" t="s">
        <v>33</v>
      </c>
      <c r="Z100" t="s">
        <v>33</v>
      </c>
      <c r="AA100" s="14" t="s">
        <v>33</v>
      </c>
      <c r="AB100" t="s">
        <v>33</v>
      </c>
      <c r="AC100" s="14" t="s">
        <v>33</v>
      </c>
      <c r="AD100" t="s">
        <v>33</v>
      </c>
      <c r="AE100" s="14" t="s">
        <v>33</v>
      </c>
      <c r="AF100" t="s">
        <v>33</v>
      </c>
      <c r="AG100" s="14" t="s">
        <v>33</v>
      </c>
      <c r="AH100" t="s">
        <v>33</v>
      </c>
      <c r="AI100" s="14" t="s">
        <v>33</v>
      </c>
      <c r="AJ100" t="s">
        <v>33</v>
      </c>
      <c r="AK100" s="14" t="s">
        <v>33</v>
      </c>
      <c r="AL100" t="s">
        <v>33</v>
      </c>
      <c r="AM100" s="14" t="s">
        <v>33</v>
      </c>
      <c r="AN100" t="s">
        <v>33</v>
      </c>
      <c r="AO100" s="14" t="s">
        <v>33</v>
      </c>
      <c r="AP100" t="s">
        <v>33</v>
      </c>
      <c r="AQ100" s="14" t="s">
        <v>33</v>
      </c>
      <c r="AR100" t="s">
        <v>33</v>
      </c>
      <c r="AS100" s="14" t="s">
        <v>33</v>
      </c>
      <c r="AT100" t="s">
        <v>33</v>
      </c>
      <c r="AU100" s="14" t="s">
        <v>33</v>
      </c>
      <c r="AV100" t="s">
        <v>33</v>
      </c>
      <c r="AW100" s="14" t="s">
        <v>33</v>
      </c>
      <c r="AX100" t="s">
        <v>33</v>
      </c>
      <c r="AY100" s="14" t="s">
        <v>33</v>
      </c>
      <c r="AZ100" t="s">
        <v>33</v>
      </c>
      <c r="BA100" s="14" t="s">
        <v>33</v>
      </c>
      <c r="BB100" t="s">
        <v>33</v>
      </c>
      <c r="BC100" s="14" t="s">
        <v>33</v>
      </c>
      <c r="BD100">
        <f t="shared" si="21"/>
        <v>97</v>
      </c>
      <c r="BE100">
        <f t="shared" si="22"/>
        <v>17568</v>
      </c>
      <c r="BF100">
        <f t="shared" si="23"/>
        <v>181.11340206185568</v>
      </c>
    </row>
    <row r="101" spans="1:59" x14ac:dyDescent="0.2">
      <c r="A101" t="s">
        <v>17</v>
      </c>
      <c r="B101" t="s">
        <v>8</v>
      </c>
      <c r="C101" t="s">
        <v>29</v>
      </c>
      <c r="D101" t="s">
        <v>33</v>
      </c>
      <c r="E101" s="14" t="s">
        <v>33</v>
      </c>
      <c r="F101">
        <v>0</v>
      </c>
      <c r="G101" s="14">
        <f t="shared" si="24"/>
        <v>0</v>
      </c>
      <c r="H101">
        <v>70</v>
      </c>
      <c r="I101" s="14">
        <f t="shared" si="13"/>
        <v>12600</v>
      </c>
      <c r="J101">
        <v>15</v>
      </c>
      <c r="K101" s="14">
        <f t="shared" si="14"/>
        <v>2790</v>
      </c>
      <c r="L101">
        <v>16</v>
      </c>
      <c r="M101" s="14">
        <f t="shared" si="15"/>
        <v>3072</v>
      </c>
      <c r="N101">
        <v>1</v>
      </c>
      <c r="O101" s="14">
        <f t="shared" si="16"/>
        <v>198</v>
      </c>
      <c r="P101">
        <v>1</v>
      </c>
      <c r="Q101" s="14">
        <f t="shared" si="17"/>
        <v>204</v>
      </c>
      <c r="R101">
        <v>1</v>
      </c>
      <c r="S101" s="14">
        <f t="shared" si="18"/>
        <v>210</v>
      </c>
      <c r="T101" t="s">
        <v>33</v>
      </c>
      <c r="U101" s="14" t="s">
        <v>33</v>
      </c>
      <c r="V101" t="s">
        <v>33</v>
      </c>
      <c r="W101" s="14" t="s">
        <v>33</v>
      </c>
      <c r="X101" t="s">
        <v>33</v>
      </c>
      <c r="Y101" s="14" t="s">
        <v>33</v>
      </c>
      <c r="Z101" t="s">
        <v>33</v>
      </c>
      <c r="AA101" s="14" t="s">
        <v>33</v>
      </c>
      <c r="AB101" t="s">
        <v>33</v>
      </c>
      <c r="AC101" s="14" t="s">
        <v>33</v>
      </c>
      <c r="AD101" t="s">
        <v>33</v>
      </c>
      <c r="AE101" s="14" t="s">
        <v>33</v>
      </c>
      <c r="AF101" t="s">
        <v>33</v>
      </c>
      <c r="AG101" s="14" t="s">
        <v>33</v>
      </c>
      <c r="AH101" t="s">
        <v>33</v>
      </c>
      <c r="AI101" s="14" t="s">
        <v>33</v>
      </c>
      <c r="AJ101" t="s">
        <v>33</v>
      </c>
      <c r="AK101" s="14" t="s">
        <v>33</v>
      </c>
      <c r="AL101" t="s">
        <v>33</v>
      </c>
      <c r="AM101" s="14" t="s">
        <v>33</v>
      </c>
      <c r="AN101" t="s">
        <v>33</v>
      </c>
      <c r="AO101" s="14" t="s">
        <v>33</v>
      </c>
      <c r="AP101" t="s">
        <v>33</v>
      </c>
      <c r="AQ101" s="14" t="s">
        <v>33</v>
      </c>
      <c r="AR101" t="s">
        <v>33</v>
      </c>
      <c r="AS101" s="14" t="s">
        <v>33</v>
      </c>
      <c r="AT101" t="s">
        <v>33</v>
      </c>
      <c r="AU101" s="14" t="s">
        <v>33</v>
      </c>
      <c r="AV101" t="s">
        <v>33</v>
      </c>
      <c r="AW101" s="14" t="s">
        <v>33</v>
      </c>
      <c r="AX101" t="s">
        <v>33</v>
      </c>
      <c r="AY101" s="14" t="s">
        <v>33</v>
      </c>
      <c r="AZ101" t="s">
        <v>33</v>
      </c>
      <c r="BA101" s="14" t="s">
        <v>33</v>
      </c>
      <c r="BB101" t="s">
        <v>33</v>
      </c>
      <c r="BC101" s="14" t="s">
        <v>33</v>
      </c>
      <c r="BD101">
        <f t="shared" si="21"/>
        <v>104</v>
      </c>
      <c r="BE101">
        <f t="shared" si="22"/>
        <v>19074</v>
      </c>
      <c r="BF101">
        <f t="shared" si="23"/>
        <v>183.40384615384616</v>
      </c>
    </row>
    <row r="102" spans="1:59" x14ac:dyDescent="0.2">
      <c r="A102" t="s">
        <v>17</v>
      </c>
      <c r="B102" t="s">
        <v>8</v>
      </c>
      <c r="C102" t="s">
        <v>30</v>
      </c>
      <c r="D102" t="s">
        <v>33</v>
      </c>
      <c r="E102" s="14" t="s">
        <v>33</v>
      </c>
      <c r="F102">
        <v>1</v>
      </c>
      <c r="G102" s="14">
        <f t="shared" si="24"/>
        <v>174</v>
      </c>
      <c r="H102">
        <v>71</v>
      </c>
      <c r="I102" s="14">
        <f t="shared" si="13"/>
        <v>12780</v>
      </c>
      <c r="J102">
        <v>18</v>
      </c>
      <c r="K102" s="14">
        <f t="shared" si="14"/>
        <v>3348</v>
      </c>
      <c r="L102">
        <v>6</v>
      </c>
      <c r="M102" s="14">
        <f t="shared" si="15"/>
        <v>1152</v>
      </c>
      <c r="N102">
        <v>0</v>
      </c>
      <c r="O102" s="14">
        <f t="shared" si="16"/>
        <v>0</v>
      </c>
      <c r="P102">
        <v>0</v>
      </c>
      <c r="Q102" s="14">
        <f t="shared" si="17"/>
        <v>0</v>
      </c>
      <c r="R102">
        <v>0</v>
      </c>
      <c r="S102" s="14">
        <f t="shared" si="18"/>
        <v>0</v>
      </c>
      <c r="T102" t="s">
        <v>33</v>
      </c>
      <c r="U102" s="14" t="s">
        <v>33</v>
      </c>
      <c r="V102" t="s">
        <v>33</v>
      </c>
      <c r="W102" s="14" t="s">
        <v>33</v>
      </c>
      <c r="X102" t="s">
        <v>33</v>
      </c>
      <c r="Y102" s="14" t="s">
        <v>33</v>
      </c>
      <c r="Z102" t="s">
        <v>33</v>
      </c>
      <c r="AA102" s="14" t="s">
        <v>33</v>
      </c>
      <c r="AB102" t="s">
        <v>33</v>
      </c>
      <c r="AC102" s="14" t="s">
        <v>33</v>
      </c>
      <c r="AD102" t="s">
        <v>33</v>
      </c>
      <c r="AE102" s="14" t="s">
        <v>33</v>
      </c>
      <c r="AF102" t="s">
        <v>33</v>
      </c>
      <c r="AG102" s="14" t="s">
        <v>33</v>
      </c>
      <c r="AH102" t="s">
        <v>33</v>
      </c>
      <c r="AI102" s="14" t="s">
        <v>33</v>
      </c>
      <c r="AJ102" t="s">
        <v>33</v>
      </c>
      <c r="AK102" s="14" t="s">
        <v>33</v>
      </c>
      <c r="AL102" t="s">
        <v>33</v>
      </c>
      <c r="AM102" s="14" t="s">
        <v>33</v>
      </c>
      <c r="AN102" t="s">
        <v>33</v>
      </c>
      <c r="AO102" s="14" t="s">
        <v>33</v>
      </c>
      <c r="AP102" t="s">
        <v>33</v>
      </c>
      <c r="AQ102" s="14" t="s">
        <v>33</v>
      </c>
      <c r="AR102" t="s">
        <v>33</v>
      </c>
      <c r="AS102" s="14" t="s">
        <v>33</v>
      </c>
      <c r="AT102" t="s">
        <v>33</v>
      </c>
      <c r="AU102" s="14" t="s">
        <v>33</v>
      </c>
      <c r="AV102" t="s">
        <v>33</v>
      </c>
      <c r="AW102" s="14" t="s">
        <v>33</v>
      </c>
      <c r="AX102" t="s">
        <v>33</v>
      </c>
      <c r="AY102" s="14" t="s">
        <v>33</v>
      </c>
      <c r="AZ102" t="s">
        <v>33</v>
      </c>
      <c r="BA102" s="14" t="s">
        <v>33</v>
      </c>
      <c r="BB102" t="s">
        <v>33</v>
      </c>
      <c r="BC102" s="14" t="s">
        <v>33</v>
      </c>
      <c r="BD102">
        <f t="shared" si="21"/>
        <v>96</v>
      </c>
      <c r="BE102">
        <f t="shared" si="22"/>
        <v>17454</v>
      </c>
      <c r="BF102">
        <f t="shared" si="23"/>
        <v>181.8125</v>
      </c>
    </row>
    <row r="103" spans="1:59" x14ac:dyDescent="0.2">
      <c r="A103" t="s">
        <v>18</v>
      </c>
      <c r="B103" t="s">
        <v>4</v>
      </c>
      <c r="C103" t="s">
        <v>29</v>
      </c>
      <c r="D103" t="s">
        <v>33</v>
      </c>
      <c r="E103" s="14" t="s">
        <v>33</v>
      </c>
      <c r="F103" t="s">
        <v>33</v>
      </c>
      <c r="G103" s="14" t="s">
        <v>33</v>
      </c>
      <c r="H103">
        <v>72</v>
      </c>
      <c r="I103" s="14">
        <f t="shared" si="13"/>
        <v>12960</v>
      </c>
      <c r="J103">
        <v>1</v>
      </c>
      <c r="K103" s="14">
        <f t="shared" si="14"/>
        <v>186</v>
      </c>
      <c r="L103">
        <v>2</v>
      </c>
      <c r="M103" s="14">
        <f t="shared" si="15"/>
        <v>384</v>
      </c>
      <c r="N103">
        <v>8</v>
      </c>
      <c r="O103" s="14">
        <f t="shared" si="16"/>
        <v>1584</v>
      </c>
      <c r="P103">
        <v>17</v>
      </c>
      <c r="Q103" s="14">
        <f t="shared" si="17"/>
        <v>3468</v>
      </c>
      <c r="R103">
        <v>18</v>
      </c>
      <c r="S103" s="14">
        <f t="shared" si="18"/>
        <v>3780</v>
      </c>
      <c r="T103">
        <v>3</v>
      </c>
      <c r="U103" s="14">
        <f t="shared" si="19"/>
        <v>648</v>
      </c>
      <c r="V103">
        <v>2</v>
      </c>
      <c r="W103" s="14">
        <f t="shared" ref="W103:W131" si="25">V103*222</f>
        <v>444</v>
      </c>
      <c r="X103">
        <v>1</v>
      </c>
      <c r="Y103" s="14">
        <f>X103*228</f>
        <v>228</v>
      </c>
      <c r="Z103">
        <v>1</v>
      </c>
      <c r="AA103" s="14">
        <f t="shared" si="20"/>
        <v>234</v>
      </c>
      <c r="AB103">
        <v>2</v>
      </c>
      <c r="AC103" s="14">
        <f>AB103*240</f>
        <v>480</v>
      </c>
      <c r="AD103" t="s">
        <v>33</v>
      </c>
      <c r="AE103" s="14" t="s">
        <v>33</v>
      </c>
      <c r="AF103" t="s">
        <v>33</v>
      </c>
      <c r="AG103" s="14" t="s">
        <v>33</v>
      </c>
      <c r="AH103">
        <v>0</v>
      </c>
      <c r="AI103" s="14">
        <f>AH103*258</f>
        <v>0</v>
      </c>
      <c r="AJ103" t="s">
        <v>33</v>
      </c>
      <c r="AK103" s="14" t="s">
        <v>33</v>
      </c>
      <c r="AL103" t="s">
        <v>33</v>
      </c>
      <c r="AM103" s="14" t="s">
        <v>33</v>
      </c>
      <c r="AN103" t="s">
        <v>33</v>
      </c>
      <c r="AO103" s="14" t="s">
        <v>33</v>
      </c>
      <c r="AP103" t="s">
        <v>33</v>
      </c>
      <c r="AQ103" s="14" t="s">
        <v>33</v>
      </c>
      <c r="AR103" t="s">
        <v>33</v>
      </c>
      <c r="AS103" s="14" t="s">
        <v>33</v>
      </c>
      <c r="AT103" t="s">
        <v>33</v>
      </c>
      <c r="AU103" s="14" t="s">
        <v>33</v>
      </c>
      <c r="AV103" t="s">
        <v>33</v>
      </c>
      <c r="AW103" s="14" t="s">
        <v>33</v>
      </c>
      <c r="AX103" t="s">
        <v>33</v>
      </c>
      <c r="AY103" s="14" t="s">
        <v>33</v>
      </c>
      <c r="AZ103" t="s">
        <v>33</v>
      </c>
      <c r="BA103" s="14" t="s">
        <v>33</v>
      </c>
      <c r="BB103" t="s">
        <v>33</v>
      </c>
      <c r="BC103" s="14" t="s">
        <v>33</v>
      </c>
      <c r="BD103">
        <f t="shared" si="21"/>
        <v>127</v>
      </c>
      <c r="BE103">
        <f t="shared" si="22"/>
        <v>24396</v>
      </c>
      <c r="BF103">
        <f t="shared" si="23"/>
        <v>192.09448818897638</v>
      </c>
    </row>
    <row r="104" spans="1:59" x14ac:dyDescent="0.2">
      <c r="A104" t="s">
        <v>18</v>
      </c>
      <c r="B104" t="s">
        <v>4</v>
      </c>
      <c r="C104" t="s">
        <v>30</v>
      </c>
      <c r="D104" t="s">
        <v>33</v>
      </c>
      <c r="E104" s="14" t="s">
        <v>33</v>
      </c>
      <c r="F104" t="s">
        <v>33</v>
      </c>
      <c r="G104" s="14" t="s">
        <v>33</v>
      </c>
      <c r="H104">
        <v>73</v>
      </c>
      <c r="I104" s="14">
        <f t="shared" si="13"/>
        <v>13140</v>
      </c>
      <c r="J104">
        <v>1</v>
      </c>
      <c r="K104" s="14">
        <f t="shared" si="14"/>
        <v>186</v>
      </c>
      <c r="L104">
        <v>2</v>
      </c>
      <c r="M104" s="14">
        <f t="shared" si="15"/>
        <v>384</v>
      </c>
      <c r="N104">
        <v>14</v>
      </c>
      <c r="O104" s="14">
        <f t="shared" si="16"/>
        <v>2772</v>
      </c>
      <c r="P104">
        <v>21</v>
      </c>
      <c r="Q104" s="14">
        <f t="shared" si="17"/>
        <v>4284</v>
      </c>
      <c r="R104">
        <v>12</v>
      </c>
      <c r="S104" s="14">
        <f t="shared" si="18"/>
        <v>2520</v>
      </c>
      <c r="T104">
        <v>1</v>
      </c>
      <c r="U104" s="14">
        <f t="shared" si="19"/>
        <v>216</v>
      </c>
      <c r="V104">
        <v>1</v>
      </c>
      <c r="W104" s="14">
        <f t="shared" si="25"/>
        <v>222</v>
      </c>
      <c r="X104">
        <v>2</v>
      </c>
      <c r="Y104" s="14">
        <f>X104*228</f>
        <v>456</v>
      </c>
      <c r="Z104">
        <v>3</v>
      </c>
      <c r="AA104" s="14">
        <f t="shared" si="20"/>
        <v>702</v>
      </c>
      <c r="AB104">
        <v>0</v>
      </c>
      <c r="AC104" s="14">
        <f>AB104*240</f>
        <v>0</v>
      </c>
      <c r="AD104" t="s">
        <v>33</v>
      </c>
      <c r="AE104" s="14" t="s">
        <v>33</v>
      </c>
      <c r="AF104" t="s">
        <v>33</v>
      </c>
      <c r="AG104" s="14" t="s">
        <v>33</v>
      </c>
      <c r="AH104">
        <v>1</v>
      </c>
      <c r="AI104" s="14">
        <f>AH104*258</f>
        <v>258</v>
      </c>
      <c r="AJ104" t="s">
        <v>33</v>
      </c>
      <c r="AK104" s="14" t="s">
        <v>33</v>
      </c>
      <c r="AL104" t="s">
        <v>33</v>
      </c>
      <c r="AM104" s="14" t="s">
        <v>33</v>
      </c>
      <c r="AN104" t="s">
        <v>33</v>
      </c>
      <c r="AO104" s="14" t="s">
        <v>33</v>
      </c>
      <c r="AP104" t="s">
        <v>33</v>
      </c>
      <c r="AQ104" s="14" t="s">
        <v>33</v>
      </c>
      <c r="AR104" t="s">
        <v>33</v>
      </c>
      <c r="AS104" s="14" t="s">
        <v>33</v>
      </c>
      <c r="AT104" t="s">
        <v>33</v>
      </c>
      <c r="AU104" s="14" t="s">
        <v>33</v>
      </c>
      <c r="AV104" t="s">
        <v>33</v>
      </c>
      <c r="AW104" s="14" t="s">
        <v>33</v>
      </c>
      <c r="AX104" t="s">
        <v>33</v>
      </c>
      <c r="AY104" s="14" t="s">
        <v>33</v>
      </c>
      <c r="AZ104" t="s">
        <v>33</v>
      </c>
      <c r="BA104" s="14" t="s">
        <v>33</v>
      </c>
      <c r="BB104" t="s">
        <v>33</v>
      </c>
      <c r="BC104" s="14" t="s">
        <v>33</v>
      </c>
      <c r="BD104">
        <f t="shared" si="21"/>
        <v>131</v>
      </c>
      <c r="BE104">
        <f t="shared" si="22"/>
        <v>25140</v>
      </c>
      <c r="BF104">
        <f t="shared" si="23"/>
        <v>191.90839694656489</v>
      </c>
    </row>
    <row r="105" spans="1:59" x14ac:dyDescent="0.2">
      <c r="A105" t="s">
        <v>18</v>
      </c>
      <c r="B105" t="s">
        <v>5</v>
      </c>
      <c r="C105" t="s">
        <v>29</v>
      </c>
      <c r="D105" t="s">
        <v>33</v>
      </c>
      <c r="E105" s="14" t="s">
        <v>33</v>
      </c>
      <c r="F105" t="s">
        <v>33</v>
      </c>
      <c r="G105" s="14" t="s">
        <v>33</v>
      </c>
      <c r="H105">
        <v>74</v>
      </c>
      <c r="I105" s="14">
        <f t="shared" si="13"/>
        <v>13320</v>
      </c>
      <c r="J105">
        <v>1</v>
      </c>
      <c r="K105" s="14">
        <f t="shared" si="14"/>
        <v>186</v>
      </c>
      <c r="L105">
        <v>1</v>
      </c>
      <c r="M105" s="14">
        <f t="shared" si="15"/>
        <v>192</v>
      </c>
      <c r="N105">
        <v>5</v>
      </c>
      <c r="O105" s="14">
        <f t="shared" si="16"/>
        <v>990</v>
      </c>
      <c r="P105">
        <v>13</v>
      </c>
      <c r="Q105" s="14">
        <f t="shared" si="17"/>
        <v>2652</v>
      </c>
      <c r="R105">
        <v>13</v>
      </c>
      <c r="S105" s="14">
        <f t="shared" si="18"/>
        <v>2730</v>
      </c>
      <c r="T105">
        <v>4</v>
      </c>
      <c r="U105" s="14">
        <f t="shared" si="19"/>
        <v>864</v>
      </c>
      <c r="V105">
        <v>0</v>
      </c>
      <c r="W105" s="14">
        <f t="shared" si="25"/>
        <v>0</v>
      </c>
      <c r="X105" t="s">
        <v>33</v>
      </c>
      <c r="Y105" s="14" t="s">
        <v>33</v>
      </c>
      <c r="Z105">
        <v>1</v>
      </c>
      <c r="AA105" s="14">
        <f t="shared" si="20"/>
        <v>234</v>
      </c>
      <c r="AB105" t="s">
        <v>33</v>
      </c>
      <c r="AC105" s="14" t="s">
        <v>33</v>
      </c>
      <c r="AD105" t="s">
        <v>33</v>
      </c>
      <c r="AE105" s="14" t="s">
        <v>33</v>
      </c>
      <c r="AF105">
        <v>0</v>
      </c>
      <c r="AG105" s="14">
        <f>AF105*252</f>
        <v>0</v>
      </c>
      <c r="AH105" t="s">
        <v>33</v>
      </c>
      <c r="AI105" s="14" t="s">
        <v>33</v>
      </c>
      <c r="AJ105" t="s">
        <v>33</v>
      </c>
      <c r="AK105" s="14" t="s">
        <v>33</v>
      </c>
      <c r="AL105" t="s">
        <v>33</v>
      </c>
      <c r="AM105" s="14" t="s">
        <v>33</v>
      </c>
      <c r="AN105" t="s">
        <v>33</v>
      </c>
      <c r="AO105" s="14" t="s">
        <v>33</v>
      </c>
      <c r="AP105" t="s">
        <v>33</v>
      </c>
      <c r="AQ105" s="14" t="s">
        <v>33</v>
      </c>
      <c r="AR105" t="s">
        <v>33</v>
      </c>
      <c r="AS105" s="14" t="s">
        <v>33</v>
      </c>
      <c r="AT105">
        <v>0</v>
      </c>
      <c r="AU105" s="14">
        <f>AT105*294</f>
        <v>0</v>
      </c>
      <c r="AV105" t="s">
        <v>33</v>
      </c>
      <c r="AW105" s="14" t="s">
        <v>33</v>
      </c>
      <c r="AX105" t="s">
        <v>33</v>
      </c>
      <c r="AY105" s="14" t="s">
        <v>33</v>
      </c>
      <c r="AZ105" t="s">
        <v>33</v>
      </c>
      <c r="BA105" s="14" t="s">
        <v>33</v>
      </c>
      <c r="BB105" t="s">
        <v>33</v>
      </c>
      <c r="BC105" s="14" t="s">
        <v>33</v>
      </c>
      <c r="BD105">
        <f t="shared" si="21"/>
        <v>112</v>
      </c>
      <c r="BE105">
        <f t="shared" si="22"/>
        <v>21168</v>
      </c>
      <c r="BF105">
        <f t="shared" si="23"/>
        <v>189</v>
      </c>
    </row>
    <row r="106" spans="1:59" x14ac:dyDescent="0.2">
      <c r="A106" t="s">
        <v>18</v>
      </c>
      <c r="B106" t="s">
        <v>5</v>
      </c>
      <c r="C106" t="s">
        <v>30</v>
      </c>
      <c r="D106" t="s">
        <v>33</v>
      </c>
      <c r="E106" s="14" t="s">
        <v>33</v>
      </c>
      <c r="F106" t="s">
        <v>33</v>
      </c>
      <c r="G106" s="14" t="s">
        <v>33</v>
      </c>
      <c r="H106">
        <v>75</v>
      </c>
      <c r="I106" s="14">
        <f t="shared" si="13"/>
        <v>13500</v>
      </c>
      <c r="J106">
        <v>6</v>
      </c>
      <c r="K106" s="14">
        <f t="shared" si="14"/>
        <v>1116</v>
      </c>
      <c r="L106">
        <v>10</v>
      </c>
      <c r="M106" s="14">
        <f t="shared" si="15"/>
        <v>1920</v>
      </c>
      <c r="N106">
        <v>4</v>
      </c>
      <c r="O106" s="14">
        <f t="shared" si="16"/>
        <v>792</v>
      </c>
      <c r="P106">
        <v>9</v>
      </c>
      <c r="Q106" s="14">
        <f t="shared" si="17"/>
        <v>1836</v>
      </c>
      <c r="R106">
        <v>8</v>
      </c>
      <c r="S106" s="14">
        <f t="shared" si="18"/>
        <v>1680</v>
      </c>
      <c r="T106">
        <v>1</v>
      </c>
      <c r="U106" s="14">
        <f t="shared" si="19"/>
        <v>216</v>
      </c>
      <c r="V106">
        <v>1</v>
      </c>
      <c r="W106" s="14">
        <f t="shared" si="25"/>
        <v>222</v>
      </c>
      <c r="X106" t="s">
        <v>33</v>
      </c>
      <c r="Y106" s="14" t="s">
        <v>33</v>
      </c>
      <c r="Z106">
        <v>0</v>
      </c>
      <c r="AA106" s="14">
        <f t="shared" si="20"/>
        <v>0</v>
      </c>
      <c r="AB106" t="s">
        <v>33</v>
      </c>
      <c r="AC106" s="14" t="s">
        <v>33</v>
      </c>
      <c r="AD106" t="s">
        <v>33</v>
      </c>
      <c r="AE106" s="14" t="s">
        <v>33</v>
      </c>
      <c r="AF106">
        <v>1</v>
      </c>
      <c r="AG106" s="14">
        <f>AF106*252</f>
        <v>252</v>
      </c>
      <c r="AH106" t="s">
        <v>33</v>
      </c>
      <c r="AI106" s="14" t="s">
        <v>33</v>
      </c>
      <c r="AJ106" t="s">
        <v>33</v>
      </c>
      <c r="AK106" s="14" t="s">
        <v>33</v>
      </c>
      <c r="AL106" t="s">
        <v>33</v>
      </c>
      <c r="AM106" s="14" t="s">
        <v>33</v>
      </c>
      <c r="AN106" t="s">
        <v>33</v>
      </c>
      <c r="AO106" s="14" t="s">
        <v>33</v>
      </c>
      <c r="AP106" t="s">
        <v>33</v>
      </c>
      <c r="AQ106" s="14" t="s">
        <v>33</v>
      </c>
      <c r="AR106" t="s">
        <v>33</v>
      </c>
      <c r="AS106" s="14" t="s">
        <v>33</v>
      </c>
      <c r="AT106">
        <v>1</v>
      </c>
      <c r="AU106" s="14">
        <f>AT106*294</f>
        <v>294</v>
      </c>
      <c r="AV106" t="s">
        <v>33</v>
      </c>
      <c r="AW106" s="14" t="s">
        <v>33</v>
      </c>
      <c r="AX106" t="s">
        <v>33</v>
      </c>
      <c r="AY106" s="14" t="s">
        <v>33</v>
      </c>
      <c r="AZ106" t="s">
        <v>33</v>
      </c>
      <c r="BA106" s="14" t="s">
        <v>33</v>
      </c>
      <c r="BB106" t="s">
        <v>33</v>
      </c>
      <c r="BC106" s="14" t="s">
        <v>33</v>
      </c>
      <c r="BD106">
        <f t="shared" si="21"/>
        <v>116</v>
      </c>
      <c r="BE106">
        <f t="shared" si="22"/>
        <v>21828</v>
      </c>
      <c r="BF106">
        <f t="shared" si="23"/>
        <v>188.17241379310346</v>
      </c>
    </row>
    <row r="107" spans="1:59" x14ac:dyDescent="0.2">
      <c r="A107" t="s">
        <v>18</v>
      </c>
      <c r="B107" t="s">
        <v>6</v>
      </c>
      <c r="C107" t="s">
        <v>29</v>
      </c>
      <c r="D107" t="s">
        <v>33</v>
      </c>
      <c r="E107" s="14" t="s">
        <v>33</v>
      </c>
      <c r="F107" t="s">
        <v>33</v>
      </c>
      <c r="G107" s="14" t="s">
        <v>33</v>
      </c>
      <c r="H107">
        <v>76</v>
      </c>
      <c r="I107" s="14">
        <f t="shared" si="13"/>
        <v>13680</v>
      </c>
      <c r="J107">
        <v>1</v>
      </c>
      <c r="K107" s="14">
        <f t="shared" si="14"/>
        <v>186</v>
      </c>
      <c r="L107">
        <v>6</v>
      </c>
      <c r="M107" s="14">
        <f t="shared" si="15"/>
        <v>1152</v>
      </c>
      <c r="N107">
        <v>14</v>
      </c>
      <c r="O107" s="14">
        <f t="shared" si="16"/>
        <v>2772</v>
      </c>
      <c r="P107">
        <v>9</v>
      </c>
      <c r="Q107" s="14">
        <f t="shared" si="17"/>
        <v>1836</v>
      </c>
      <c r="R107">
        <v>6</v>
      </c>
      <c r="S107" s="14">
        <f t="shared" si="18"/>
        <v>1260</v>
      </c>
      <c r="T107">
        <v>0</v>
      </c>
      <c r="U107" s="14">
        <f t="shared" si="19"/>
        <v>0</v>
      </c>
      <c r="V107">
        <v>1</v>
      </c>
      <c r="W107" s="14">
        <f t="shared" si="25"/>
        <v>222</v>
      </c>
      <c r="X107" t="s">
        <v>33</v>
      </c>
      <c r="Y107" s="14" t="s">
        <v>33</v>
      </c>
      <c r="Z107" t="s">
        <v>33</v>
      </c>
      <c r="AA107" s="14" t="s">
        <v>33</v>
      </c>
      <c r="AB107" t="s">
        <v>33</v>
      </c>
      <c r="AC107" s="14" t="s">
        <v>33</v>
      </c>
      <c r="AD107" t="s">
        <v>33</v>
      </c>
      <c r="AE107" s="14" t="s">
        <v>33</v>
      </c>
      <c r="AF107" t="s">
        <v>33</v>
      </c>
      <c r="AG107" s="14" t="s">
        <v>33</v>
      </c>
      <c r="AH107" t="s">
        <v>33</v>
      </c>
      <c r="AI107" s="14" t="s">
        <v>33</v>
      </c>
      <c r="AJ107" t="s">
        <v>33</v>
      </c>
      <c r="AK107" s="14" t="s">
        <v>33</v>
      </c>
      <c r="AL107" t="s">
        <v>33</v>
      </c>
      <c r="AM107" s="14" t="s">
        <v>33</v>
      </c>
      <c r="AN107" t="s">
        <v>33</v>
      </c>
      <c r="AO107" s="14" t="s">
        <v>33</v>
      </c>
      <c r="AP107" t="s">
        <v>33</v>
      </c>
      <c r="AQ107" s="14" t="s">
        <v>33</v>
      </c>
      <c r="AR107" t="s">
        <v>33</v>
      </c>
      <c r="AS107" s="14" t="s">
        <v>33</v>
      </c>
      <c r="AT107" t="s">
        <v>33</v>
      </c>
      <c r="AU107" s="14" t="s">
        <v>33</v>
      </c>
      <c r="AV107" t="s">
        <v>33</v>
      </c>
      <c r="AW107" s="14" t="s">
        <v>33</v>
      </c>
      <c r="AX107" t="s">
        <v>33</v>
      </c>
      <c r="AY107" s="14" t="s">
        <v>33</v>
      </c>
      <c r="AZ107" t="s">
        <v>33</v>
      </c>
      <c r="BA107" s="14" t="s">
        <v>33</v>
      </c>
      <c r="BB107" t="s">
        <v>33</v>
      </c>
      <c r="BC107" s="14" t="s">
        <v>33</v>
      </c>
      <c r="BD107">
        <f t="shared" si="21"/>
        <v>113</v>
      </c>
      <c r="BE107">
        <f t="shared" si="22"/>
        <v>21108</v>
      </c>
      <c r="BF107">
        <f t="shared" si="23"/>
        <v>186.79646017699116</v>
      </c>
    </row>
    <row r="108" spans="1:59" x14ac:dyDescent="0.2">
      <c r="A108" t="s">
        <v>18</v>
      </c>
      <c r="B108" t="s">
        <v>6</v>
      </c>
      <c r="C108" t="s">
        <v>30</v>
      </c>
      <c r="D108" t="s">
        <v>33</v>
      </c>
      <c r="E108" s="14" t="s">
        <v>33</v>
      </c>
      <c r="F108" t="s">
        <v>33</v>
      </c>
      <c r="G108" s="14" t="s">
        <v>33</v>
      </c>
      <c r="H108">
        <v>77</v>
      </c>
      <c r="I108" s="14">
        <f t="shared" si="13"/>
        <v>13860</v>
      </c>
      <c r="J108">
        <v>12</v>
      </c>
      <c r="K108" s="14">
        <f t="shared" si="14"/>
        <v>2232</v>
      </c>
      <c r="L108">
        <v>9</v>
      </c>
      <c r="M108" s="14">
        <f t="shared" si="15"/>
        <v>1728</v>
      </c>
      <c r="N108">
        <v>19</v>
      </c>
      <c r="O108" s="14">
        <f t="shared" si="16"/>
        <v>3762</v>
      </c>
      <c r="P108">
        <v>3</v>
      </c>
      <c r="Q108" s="14">
        <f t="shared" si="17"/>
        <v>612</v>
      </c>
      <c r="R108">
        <v>3</v>
      </c>
      <c r="S108" s="14">
        <f t="shared" si="18"/>
        <v>630</v>
      </c>
      <c r="T108">
        <v>2</v>
      </c>
      <c r="U108" s="14">
        <f t="shared" si="19"/>
        <v>432</v>
      </c>
      <c r="V108">
        <v>2</v>
      </c>
      <c r="W108" s="14">
        <f t="shared" si="25"/>
        <v>444</v>
      </c>
      <c r="X108" t="s">
        <v>33</v>
      </c>
      <c r="Y108" s="14" t="s">
        <v>33</v>
      </c>
      <c r="Z108" t="s">
        <v>33</v>
      </c>
      <c r="AA108" s="14" t="s">
        <v>33</v>
      </c>
      <c r="AB108" t="s">
        <v>33</v>
      </c>
      <c r="AC108" s="14" t="s">
        <v>33</v>
      </c>
      <c r="AD108" t="s">
        <v>33</v>
      </c>
      <c r="AE108" s="14" t="s">
        <v>33</v>
      </c>
      <c r="AF108" t="s">
        <v>33</v>
      </c>
      <c r="AG108" s="14" t="s">
        <v>33</v>
      </c>
      <c r="AH108" t="s">
        <v>33</v>
      </c>
      <c r="AI108" s="14" t="s">
        <v>33</v>
      </c>
      <c r="AJ108" t="s">
        <v>33</v>
      </c>
      <c r="AK108" s="14" t="s">
        <v>33</v>
      </c>
      <c r="AL108" t="s">
        <v>33</v>
      </c>
      <c r="AM108" s="14" t="s">
        <v>33</v>
      </c>
      <c r="AN108" t="s">
        <v>33</v>
      </c>
      <c r="AO108" s="14" t="s">
        <v>33</v>
      </c>
      <c r="AP108" t="s">
        <v>33</v>
      </c>
      <c r="AQ108" s="14" t="s">
        <v>33</v>
      </c>
      <c r="AR108" t="s">
        <v>33</v>
      </c>
      <c r="AS108" s="14" t="s">
        <v>33</v>
      </c>
      <c r="AT108" t="s">
        <v>33</v>
      </c>
      <c r="AU108" s="14" t="s">
        <v>33</v>
      </c>
      <c r="AV108" t="s">
        <v>33</v>
      </c>
      <c r="AW108" s="14" t="s">
        <v>33</v>
      </c>
      <c r="AX108" t="s">
        <v>33</v>
      </c>
      <c r="AY108" s="14" t="s">
        <v>33</v>
      </c>
      <c r="AZ108" t="s">
        <v>33</v>
      </c>
      <c r="BA108" s="14" t="s">
        <v>33</v>
      </c>
      <c r="BB108" t="s">
        <v>33</v>
      </c>
      <c r="BC108" s="14" t="s">
        <v>33</v>
      </c>
      <c r="BD108">
        <f t="shared" si="21"/>
        <v>127</v>
      </c>
      <c r="BE108">
        <f t="shared" si="22"/>
        <v>23700</v>
      </c>
      <c r="BF108">
        <f t="shared" si="23"/>
        <v>186.61417322834646</v>
      </c>
    </row>
    <row r="109" spans="1:59" x14ac:dyDescent="0.2">
      <c r="A109" t="s">
        <v>18</v>
      </c>
      <c r="B109" t="s">
        <v>7</v>
      </c>
      <c r="C109" t="s">
        <v>29</v>
      </c>
      <c r="D109" t="s">
        <v>33</v>
      </c>
      <c r="E109" s="14" t="s">
        <v>33</v>
      </c>
      <c r="F109" t="s">
        <v>33</v>
      </c>
      <c r="G109" s="14" t="s">
        <v>33</v>
      </c>
      <c r="H109">
        <v>78</v>
      </c>
      <c r="I109" s="14">
        <f t="shared" si="13"/>
        <v>14040</v>
      </c>
      <c r="J109">
        <v>0</v>
      </c>
      <c r="K109" s="14">
        <f t="shared" si="14"/>
        <v>0</v>
      </c>
      <c r="L109">
        <v>5</v>
      </c>
      <c r="M109" s="14">
        <f t="shared" si="15"/>
        <v>960</v>
      </c>
      <c r="N109">
        <v>12</v>
      </c>
      <c r="O109" s="14">
        <f t="shared" si="16"/>
        <v>2376</v>
      </c>
      <c r="P109">
        <v>6</v>
      </c>
      <c r="Q109" s="14">
        <f t="shared" si="17"/>
        <v>1224</v>
      </c>
      <c r="R109">
        <v>6</v>
      </c>
      <c r="S109" s="14">
        <f t="shared" si="18"/>
        <v>1260</v>
      </c>
      <c r="T109">
        <v>3</v>
      </c>
      <c r="U109" s="14">
        <f t="shared" si="19"/>
        <v>648</v>
      </c>
      <c r="V109">
        <v>1</v>
      </c>
      <c r="W109" s="14">
        <f t="shared" si="25"/>
        <v>222</v>
      </c>
      <c r="X109" t="s">
        <v>33</v>
      </c>
      <c r="Y109" s="14" t="s">
        <v>33</v>
      </c>
      <c r="Z109">
        <v>1</v>
      </c>
      <c r="AA109" s="14">
        <f t="shared" si="20"/>
        <v>234</v>
      </c>
      <c r="AB109" t="s">
        <v>33</v>
      </c>
      <c r="AC109" s="14" t="s">
        <v>33</v>
      </c>
      <c r="AD109" t="s">
        <v>33</v>
      </c>
      <c r="AE109" s="14" t="s">
        <v>33</v>
      </c>
      <c r="AF109">
        <v>0</v>
      </c>
      <c r="AG109" s="14">
        <f t="shared" ref="AG109:AG116" si="26">AF109*252</f>
        <v>0</v>
      </c>
      <c r="AH109" t="s">
        <v>33</v>
      </c>
      <c r="AI109" s="14" t="s">
        <v>33</v>
      </c>
      <c r="AJ109" t="s">
        <v>33</v>
      </c>
      <c r="AK109" s="14" t="s">
        <v>33</v>
      </c>
      <c r="AL109" t="s">
        <v>33</v>
      </c>
      <c r="AM109" s="14" t="s">
        <v>33</v>
      </c>
      <c r="AN109" t="s">
        <v>33</v>
      </c>
      <c r="AO109" s="14" t="s">
        <v>33</v>
      </c>
      <c r="AP109" t="s">
        <v>33</v>
      </c>
      <c r="AQ109" s="14" t="s">
        <v>33</v>
      </c>
      <c r="AR109" t="s">
        <v>33</v>
      </c>
      <c r="AS109" s="14" t="s">
        <v>33</v>
      </c>
      <c r="AT109" t="s">
        <v>33</v>
      </c>
      <c r="AU109" s="14" t="s">
        <v>33</v>
      </c>
      <c r="AV109" t="s">
        <v>33</v>
      </c>
      <c r="AW109" s="14" t="s">
        <v>33</v>
      </c>
      <c r="AX109">
        <v>0</v>
      </c>
      <c r="AY109" s="14">
        <f>AX109*324</f>
        <v>0</v>
      </c>
      <c r="AZ109" t="s">
        <v>33</v>
      </c>
      <c r="BA109" s="14" t="s">
        <v>33</v>
      </c>
      <c r="BB109" t="s">
        <v>33</v>
      </c>
      <c r="BC109" s="14" t="s">
        <v>33</v>
      </c>
      <c r="BD109">
        <f t="shared" si="21"/>
        <v>112</v>
      </c>
      <c r="BE109">
        <f t="shared" si="22"/>
        <v>20964</v>
      </c>
      <c r="BF109">
        <f t="shared" si="23"/>
        <v>187.17857142857142</v>
      </c>
    </row>
    <row r="110" spans="1:59" x14ac:dyDescent="0.2">
      <c r="A110" t="s">
        <v>18</v>
      </c>
      <c r="B110" t="s">
        <v>7</v>
      </c>
      <c r="C110" t="s">
        <v>30</v>
      </c>
      <c r="D110" t="s">
        <v>33</v>
      </c>
      <c r="E110" s="14" t="s">
        <v>33</v>
      </c>
      <c r="F110" t="s">
        <v>33</v>
      </c>
      <c r="G110" s="14" t="s">
        <v>33</v>
      </c>
      <c r="H110">
        <v>79</v>
      </c>
      <c r="I110" s="14">
        <f t="shared" si="13"/>
        <v>14220</v>
      </c>
      <c r="J110">
        <v>12</v>
      </c>
      <c r="K110" s="14">
        <f t="shared" si="14"/>
        <v>2232</v>
      </c>
      <c r="L110">
        <v>11</v>
      </c>
      <c r="M110" s="14">
        <f t="shared" si="15"/>
        <v>2112</v>
      </c>
      <c r="N110">
        <v>19</v>
      </c>
      <c r="O110" s="14">
        <f t="shared" si="16"/>
        <v>3762</v>
      </c>
      <c r="P110">
        <v>7</v>
      </c>
      <c r="Q110" s="14">
        <f t="shared" si="17"/>
        <v>1428</v>
      </c>
      <c r="R110">
        <v>3</v>
      </c>
      <c r="S110" s="14">
        <f t="shared" si="18"/>
        <v>630</v>
      </c>
      <c r="T110">
        <v>0</v>
      </c>
      <c r="U110" s="14">
        <f t="shared" si="19"/>
        <v>0</v>
      </c>
      <c r="V110">
        <v>0</v>
      </c>
      <c r="W110" s="14">
        <f t="shared" si="25"/>
        <v>0</v>
      </c>
      <c r="X110" t="s">
        <v>33</v>
      </c>
      <c r="Y110" s="14" t="s">
        <v>33</v>
      </c>
      <c r="Z110">
        <v>0</v>
      </c>
      <c r="AA110" s="14">
        <f t="shared" si="20"/>
        <v>0</v>
      </c>
      <c r="AB110" t="s">
        <v>33</v>
      </c>
      <c r="AC110" s="14" t="s">
        <v>33</v>
      </c>
      <c r="AD110" t="s">
        <v>33</v>
      </c>
      <c r="AE110" s="14" t="s">
        <v>33</v>
      </c>
      <c r="AF110">
        <v>1</v>
      </c>
      <c r="AG110" s="14">
        <f t="shared" si="26"/>
        <v>252</v>
      </c>
      <c r="AH110" t="s">
        <v>33</v>
      </c>
      <c r="AI110" s="14" t="s">
        <v>33</v>
      </c>
      <c r="AJ110" t="s">
        <v>33</v>
      </c>
      <c r="AK110" s="14" t="s">
        <v>33</v>
      </c>
      <c r="AL110" t="s">
        <v>33</v>
      </c>
      <c r="AM110" s="14" t="s">
        <v>33</v>
      </c>
      <c r="AN110" t="s">
        <v>33</v>
      </c>
      <c r="AO110" s="14" t="s">
        <v>33</v>
      </c>
      <c r="AP110" t="s">
        <v>33</v>
      </c>
      <c r="AQ110" s="14" t="s">
        <v>33</v>
      </c>
      <c r="AR110" t="s">
        <v>33</v>
      </c>
      <c r="AS110" s="14" t="s">
        <v>33</v>
      </c>
      <c r="AT110" t="s">
        <v>33</v>
      </c>
      <c r="AU110" s="14" t="s">
        <v>33</v>
      </c>
      <c r="AV110" t="s">
        <v>33</v>
      </c>
      <c r="AW110" s="14" t="s">
        <v>33</v>
      </c>
      <c r="AX110">
        <v>1</v>
      </c>
      <c r="AY110" s="14">
        <f>AX110*324</f>
        <v>324</v>
      </c>
      <c r="AZ110" t="s">
        <v>33</v>
      </c>
      <c r="BA110" s="14" t="s">
        <v>33</v>
      </c>
      <c r="BB110" t="s">
        <v>33</v>
      </c>
      <c r="BC110" s="14" t="s">
        <v>33</v>
      </c>
      <c r="BD110">
        <f t="shared" si="21"/>
        <v>133</v>
      </c>
      <c r="BE110">
        <f t="shared" si="22"/>
        <v>24960</v>
      </c>
      <c r="BF110">
        <f t="shared" si="23"/>
        <v>187.66917293233084</v>
      </c>
    </row>
    <row r="111" spans="1:59" x14ac:dyDescent="0.2">
      <c r="A111" t="s">
        <v>18</v>
      </c>
      <c r="B111" t="s">
        <v>8</v>
      </c>
      <c r="C111" t="s">
        <v>29</v>
      </c>
      <c r="D111" t="s">
        <v>33</v>
      </c>
      <c r="E111" s="14" t="s">
        <v>33</v>
      </c>
      <c r="F111" t="s">
        <v>33</v>
      </c>
      <c r="G111" s="14" t="s">
        <v>33</v>
      </c>
      <c r="H111">
        <v>80</v>
      </c>
      <c r="I111" s="14">
        <f t="shared" si="13"/>
        <v>14400</v>
      </c>
      <c r="J111">
        <v>2</v>
      </c>
      <c r="K111" s="14">
        <f t="shared" si="14"/>
        <v>372</v>
      </c>
      <c r="L111">
        <v>4</v>
      </c>
      <c r="M111" s="14">
        <f t="shared" si="15"/>
        <v>768</v>
      </c>
      <c r="N111">
        <v>19</v>
      </c>
      <c r="O111" s="14">
        <f t="shared" si="16"/>
        <v>3762</v>
      </c>
      <c r="P111">
        <v>16</v>
      </c>
      <c r="Q111" s="14">
        <f t="shared" si="17"/>
        <v>3264</v>
      </c>
      <c r="R111">
        <v>20</v>
      </c>
      <c r="S111" s="14">
        <f t="shared" si="18"/>
        <v>4200</v>
      </c>
      <c r="T111">
        <v>8</v>
      </c>
      <c r="U111" s="14">
        <f t="shared" si="19"/>
        <v>1728</v>
      </c>
      <c r="V111">
        <v>4</v>
      </c>
      <c r="W111" s="14">
        <f t="shared" si="25"/>
        <v>888</v>
      </c>
      <c r="X111">
        <v>0</v>
      </c>
      <c r="Y111" s="14">
        <f t="shared" ref="Y111:Y131" si="27">X111*228</f>
        <v>0</v>
      </c>
      <c r="Z111">
        <v>0</v>
      </c>
      <c r="AA111" s="14">
        <f t="shared" si="20"/>
        <v>0</v>
      </c>
      <c r="AB111">
        <v>3</v>
      </c>
      <c r="AC111" s="14">
        <f t="shared" ref="AC111:AC116" si="28">AB111*240</f>
        <v>720</v>
      </c>
      <c r="AD111" t="s">
        <v>33</v>
      </c>
      <c r="AE111" s="14" t="s">
        <v>33</v>
      </c>
      <c r="AF111">
        <v>0</v>
      </c>
      <c r="AG111" s="14">
        <f t="shared" si="26"/>
        <v>0</v>
      </c>
      <c r="AH111" t="s">
        <v>33</v>
      </c>
      <c r="AI111" s="14" t="s">
        <v>33</v>
      </c>
      <c r="AJ111" t="s">
        <v>33</v>
      </c>
      <c r="AK111" s="14" t="s">
        <v>33</v>
      </c>
      <c r="AL111" t="s">
        <v>33</v>
      </c>
      <c r="AM111" s="14" t="s">
        <v>33</v>
      </c>
      <c r="AN111">
        <v>1</v>
      </c>
      <c r="AO111" s="14">
        <f>AN111*276</f>
        <v>276</v>
      </c>
      <c r="AP111" t="s">
        <v>33</v>
      </c>
      <c r="AQ111" s="14" t="s">
        <v>33</v>
      </c>
      <c r="AR111" t="s">
        <v>33</v>
      </c>
      <c r="AS111" s="14" t="s">
        <v>33</v>
      </c>
      <c r="AT111" t="s">
        <v>33</v>
      </c>
      <c r="AU111" s="14" t="s">
        <v>33</v>
      </c>
      <c r="AV111" t="s">
        <v>33</v>
      </c>
      <c r="AW111" s="14" t="s">
        <v>33</v>
      </c>
      <c r="AX111" t="s">
        <v>33</v>
      </c>
      <c r="AY111" s="14" t="s">
        <v>33</v>
      </c>
      <c r="AZ111" t="s">
        <v>33</v>
      </c>
      <c r="BA111" s="14" t="s">
        <v>33</v>
      </c>
      <c r="BB111" t="s">
        <v>33</v>
      </c>
      <c r="BC111" s="14" t="s">
        <v>33</v>
      </c>
      <c r="BD111">
        <f t="shared" si="21"/>
        <v>157</v>
      </c>
      <c r="BE111">
        <f t="shared" si="22"/>
        <v>30378</v>
      </c>
      <c r="BF111">
        <f t="shared" si="23"/>
        <v>193.49044585987261</v>
      </c>
      <c r="BG111" t="s">
        <v>70</v>
      </c>
    </row>
    <row r="112" spans="1:59" x14ac:dyDescent="0.2">
      <c r="A112" t="s">
        <v>18</v>
      </c>
      <c r="B112" t="s">
        <v>8</v>
      </c>
      <c r="C112" t="s">
        <v>30</v>
      </c>
      <c r="D112" t="s">
        <v>33</v>
      </c>
      <c r="E112" s="14" t="s">
        <v>33</v>
      </c>
      <c r="F112" t="s">
        <v>33</v>
      </c>
      <c r="G112" s="14" t="s">
        <v>33</v>
      </c>
      <c r="H112">
        <v>81</v>
      </c>
      <c r="I112" s="14">
        <f t="shared" si="13"/>
        <v>14580</v>
      </c>
      <c r="J112">
        <v>4</v>
      </c>
      <c r="K112" s="14">
        <f t="shared" si="14"/>
        <v>744</v>
      </c>
      <c r="L112">
        <v>9</v>
      </c>
      <c r="M112" s="14">
        <f t="shared" si="15"/>
        <v>1728</v>
      </c>
      <c r="N112">
        <v>10</v>
      </c>
      <c r="O112" s="14">
        <f t="shared" si="16"/>
        <v>1980</v>
      </c>
      <c r="P112">
        <v>10</v>
      </c>
      <c r="Q112" s="14">
        <f t="shared" si="17"/>
        <v>2040</v>
      </c>
      <c r="R112">
        <v>5</v>
      </c>
      <c r="S112" s="14">
        <f t="shared" si="18"/>
        <v>1050</v>
      </c>
      <c r="T112">
        <v>4</v>
      </c>
      <c r="U112" s="14">
        <f t="shared" si="19"/>
        <v>864</v>
      </c>
      <c r="V112">
        <v>1</v>
      </c>
      <c r="W112" s="14">
        <f t="shared" si="25"/>
        <v>222</v>
      </c>
      <c r="X112">
        <v>2</v>
      </c>
      <c r="Y112" s="14">
        <f t="shared" si="27"/>
        <v>456</v>
      </c>
      <c r="Z112">
        <v>2</v>
      </c>
      <c r="AA112" s="14">
        <f t="shared" si="20"/>
        <v>468</v>
      </c>
      <c r="AB112">
        <v>1</v>
      </c>
      <c r="AC112" s="14">
        <f t="shared" si="28"/>
        <v>240</v>
      </c>
      <c r="AD112" t="s">
        <v>33</v>
      </c>
      <c r="AE112" s="14" t="s">
        <v>33</v>
      </c>
      <c r="AF112">
        <v>1</v>
      </c>
      <c r="AG112" s="14">
        <f t="shared" si="26"/>
        <v>252</v>
      </c>
      <c r="AH112" t="s">
        <v>33</v>
      </c>
      <c r="AI112" s="14" t="s">
        <v>33</v>
      </c>
      <c r="AJ112" t="s">
        <v>33</v>
      </c>
      <c r="AK112" s="14" t="s">
        <v>33</v>
      </c>
      <c r="AL112" t="s">
        <v>33</v>
      </c>
      <c r="AM112" s="14" t="s">
        <v>33</v>
      </c>
      <c r="AN112">
        <v>0</v>
      </c>
      <c r="AO112" s="14">
        <f>AN112*276</f>
        <v>0</v>
      </c>
      <c r="AP112" t="s">
        <v>33</v>
      </c>
      <c r="AQ112" s="14" t="s">
        <v>33</v>
      </c>
      <c r="AR112" t="s">
        <v>33</v>
      </c>
      <c r="AS112" s="14" t="s">
        <v>33</v>
      </c>
      <c r="AT112" t="s">
        <v>33</v>
      </c>
      <c r="AU112" s="14" t="s">
        <v>33</v>
      </c>
      <c r="AV112" t="s">
        <v>33</v>
      </c>
      <c r="AW112" s="14" t="s">
        <v>33</v>
      </c>
      <c r="AX112" t="s">
        <v>33</v>
      </c>
      <c r="AY112" s="14" t="s">
        <v>33</v>
      </c>
      <c r="AZ112" t="s">
        <v>33</v>
      </c>
      <c r="BA112" s="14" t="s">
        <v>33</v>
      </c>
      <c r="BB112" t="s">
        <v>33</v>
      </c>
      <c r="BC112" s="14" t="s">
        <v>33</v>
      </c>
      <c r="BD112">
        <f t="shared" si="21"/>
        <v>130</v>
      </c>
      <c r="BE112">
        <f t="shared" si="22"/>
        <v>24624</v>
      </c>
      <c r="BF112">
        <f t="shared" si="23"/>
        <v>189.41538461538462</v>
      </c>
    </row>
    <row r="113" spans="1:59" x14ac:dyDescent="0.2">
      <c r="A113" t="s">
        <v>19</v>
      </c>
      <c r="B113" t="s">
        <v>4</v>
      </c>
      <c r="C113" t="s">
        <v>29</v>
      </c>
      <c r="D113" t="s">
        <v>33</v>
      </c>
      <c r="E113" s="14" t="s">
        <v>33</v>
      </c>
      <c r="F113" t="s">
        <v>33</v>
      </c>
      <c r="G113" s="14" t="s">
        <v>33</v>
      </c>
      <c r="H113">
        <v>82</v>
      </c>
      <c r="I113" s="14">
        <f t="shared" si="13"/>
        <v>14760</v>
      </c>
      <c r="J113" t="s">
        <v>33</v>
      </c>
      <c r="K113" s="14" t="s">
        <v>33</v>
      </c>
      <c r="L113">
        <v>1</v>
      </c>
      <c r="M113" s="14">
        <f t="shared" si="15"/>
        <v>192</v>
      </c>
      <c r="N113">
        <v>6</v>
      </c>
      <c r="O113" s="14">
        <f t="shared" si="16"/>
        <v>1188</v>
      </c>
      <c r="P113">
        <v>8</v>
      </c>
      <c r="Q113" s="14">
        <f t="shared" si="17"/>
        <v>1632</v>
      </c>
      <c r="R113">
        <v>12</v>
      </c>
      <c r="S113" s="14">
        <f t="shared" si="18"/>
        <v>2520</v>
      </c>
      <c r="T113">
        <v>8</v>
      </c>
      <c r="U113" s="14">
        <f t="shared" si="19"/>
        <v>1728</v>
      </c>
      <c r="V113">
        <v>8</v>
      </c>
      <c r="W113" s="14">
        <f t="shared" si="25"/>
        <v>1776</v>
      </c>
      <c r="X113">
        <v>2</v>
      </c>
      <c r="Y113" s="14">
        <f t="shared" si="27"/>
        <v>456</v>
      </c>
      <c r="Z113">
        <v>2</v>
      </c>
      <c r="AA113" s="14">
        <f t="shared" si="20"/>
        <v>468</v>
      </c>
      <c r="AB113">
        <v>1</v>
      </c>
      <c r="AC113" s="14">
        <f t="shared" si="28"/>
        <v>240</v>
      </c>
      <c r="AD113" t="s">
        <v>33</v>
      </c>
      <c r="AE113" s="14" t="s">
        <v>33</v>
      </c>
      <c r="AF113">
        <v>0</v>
      </c>
      <c r="AG113" s="14">
        <f t="shared" si="26"/>
        <v>0</v>
      </c>
      <c r="AH113">
        <v>1</v>
      </c>
      <c r="AI113" s="14">
        <f>AH113*258</f>
        <v>258</v>
      </c>
      <c r="AJ113" t="s">
        <v>33</v>
      </c>
      <c r="AK113" s="14" t="s">
        <v>33</v>
      </c>
      <c r="AL113" t="s">
        <v>33</v>
      </c>
      <c r="AM113" s="14" t="s">
        <v>33</v>
      </c>
      <c r="AN113" t="s">
        <v>33</v>
      </c>
      <c r="AO113" s="14" t="s">
        <v>33</v>
      </c>
      <c r="AP113" t="s">
        <v>33</v>
      </c>
      <c r="AQ113" s="14" t="s">
        <v>33</v>
      </c>
      <c r="AR113">
        <v>1</v>
      </c>
      <c r="AS113" s="14">
        <f>AR113*288</f>
        <v>288</v>
      </c>
      <c r="AT113" t="s">
        <v>33</v>
      </c>
      <c r="AU113" s="14" t="s">
        <v>33</v>
      </c>
      <c r="AV113" t="s">
        <v>33</v>
      </c>
      <c r="AW113" s="14" t="s">
        <v>33</v>
      </c>
      <c r="AX113" t="s">
        <v>33</v>
      </c>
      <c r="AY113" s="14" t="s">
        <v>33</v>
      </c>
      <c r="AZ113" t="s">
        <v>33</v>
      </c>
      <c r="BA113" s="14" t="s">
        <v>33</v>
      </c>
      <c r="BB113" t="s">
        <v>33</v>
      </c>
      <c r="BC113" s="14" t="s">
        <v>33</v>
      </c>
      <c r="BD113">
        <f t="shared" si="21"/>
        <v>132</v>
      </c>
      <c r="BE113">
        <f t="shared" si="22"/>
        <v>25506</v>
      </c>
      <c r="BF113">
        <f t="shared" si="23"/>
        <v>193.22727272727272</v>
      </c>
    </row>
    <row r="114" spans="1:59" x14ac:dyDescent="0.2">
      <c r="A114" t="s">
        <v>19</v>
      </c>
      <c r="B114" t="s">
        <v>4</v>
      </c>
      <c r="C114" t="s">
        <v>30</v>
      </c>
      <c r="D114" t="s">
        <v>33</v>
      </c>
      <c r="E114" s="14" t="s">
        <v>33</v>
      </c>
      <c r="F114" t="s">
        <v>33</v>
      </c>
      <c r="G114" s="14" t="s">
        <v>33</v>
      </c>
      <c r="H114">
        <v>83</v>
      </c>
      <c r="I114" s="14">
        <f t="shared" si="13"/>
        <v>14940</v>
      </c>
      <c r="J114" t="s">
        <v>33</v>
      </c>
      <c r="K114" s="14" t="s">
        <v>33</v>
      </c>
      <c r="L114">
        <v>5</v>
      </c>
      <c r="M114" s="14">
        <f t="shared" si="15"/>
        <v>960</v>
      </c>
      <c r="N114">
        <v>10</v>
      </c>
      <c r="O114" s="14">
        <f t="shared" si="16"/>
        <v>1980</v>
      </c>
      <c r="P114">
        <v>13</v>
      </c>
      <c r="Q114" s="14">
        <f t="shared" si="17"/>
        <v>2652</v>
      </c>
      <c r="R114">
        <v>20</v>
      </c>
      <c r="S114" s="14">
        <f t="shared" si="18"/>
        <v>4200</v>
      </c>
      <c r="T114">
        <v>8</v>
      </c>
      <c r="U114" s="14">
        <f t="shared" si="19"/>
        <v>1728</v>
      </c>
      <c r="V114">
        <v>12</v>
      </c>
      <c r="W114" s="14">
        <f t="shared" si="25"/>
        <v>2664</v>
      </c>
      <c r="X114">
        <v>4</v>
      </c>
      <c r="Y114" s="14">
        <f t="shared" si="27"/>
        <v>912</v>
      </c>
      <c r="Z114">
        <v>3</v>
      </c>
      <c r="AA114" s="14">
        <f t="shared" si="20"/>
        <v>702</v>
      </c>
      <c r="AB114">
        <v>4</v>
      </c>
      <c r="AC114" s="14">
        <f t="shared" si="28"/>
        <v>960</v>
      </c>
      <c r="AD114" t="s">
        <v>33</v>
      </c>
      <c r="AE114" s="14" t="s">
        <v>33</v>
      </c>
      <c r="AF114">
        <v>1</v>
      </c>
      <c r="AG114" s="14">
        <f t="shared" si="26"/>
        <v>252</v>
      </c>
      <c r="AH114">
        <v>0</v>
      </c>
      <c r="AI114" s="14">
        <f>AH114*258</f>
        <v>0</v>
      </c>
      <c r="AJ114" t="s">
        <v>33</v>
      </c>
      <c r="AK114" s="14" t="s">
        <v>33</v>
      </c>
      <c r="AL114" t="s">
        <v>33</v>
      </c>
      <c r="AM114" s="14" t="s">
        <v>33</v>
      </c>
      <c r="AN114" t="s">
        <v>33</v>
      </c>
      <c r="AO114" s="14" t="s">
        <v>33</v>
      </c>
      <c r="AP114" t="s">
        <v>33</v>
      </c>
      <c r="AQ114" s="14" t="s">
        <v>33</v>
      </c>
      <c r="AR114">
        <v>1</v>
      </c>
      <c r="AS114" s="14">
        <f>AR114*288</f>
        <v>288</v>
      </c>
      <c r="AT114" t="s">
        <v>33</v>
      </c>
      <c r="AU114" s="14" t="s">
        <v>33</v>
      </c>
      <c r="AV114" t="s">
        <v>33</v>
      </c>
      <c r="AW114" s="14" t="s">
        <v>33</v>
      </c>
      <c r="AX114" t="s">
        <v>33</v>
      </c>
      <c r="AY114" s="14" t="s">
        <v>33</v>
      </c>
      <c r="AZ114" t="s">
        <v>33</v>
      </c>
      <c r="BA114" s="14" t="s">
        <v>33</v>
      </c>
      <c r="BB114" t="s">
        <v>33</v>
      </c>
      <c r="BC114" s="14" t="s">
        <v>33</v>
      </c>
      <c r="BD114">
        <f t="shared" si="21"/>
        <v>164</v>
      </c>
      <c r="BE114">
        <f t="shared" si="22"/>
        <v>32238</v>
      </c>
      <c r="BF114">
        <f t="shared" si="23"/>
        <v>196.57317073170731</v>
      </c>
    </row>
    <row r="115" spans="1:59" x14ac:dyDescent="0.2">
      <c r="A115" t="s">
        <v>19</v>
      </c>
      <c r="B115" t="s">
        <v>5</v>
      </c>
      <c r="C115" t="s">
        <v>29</v>
      </c>
      <c r="D115" t="s">
        <v>33</v>
      </c>
      <c r="E115" s="14" t="s">
        <v>33</v>
      </c>
      <c r="F115" t="s">
        <v>33</v>
      </c>
      <c r="G115" s="14" t="s">
        <v>33</v>
      </c>
      <c r="H115">
        <v>84</v>
      </c>
      <c r="I115" s="14">
        <f t="shared" si="13"/>
        <v>15120</v>
      </c>
      <c r="J115">
        <v>0</v>
      </c>
      <c r="K115" s="14">
        <f t="shared" si="14"/>
        <v>0</v>
      </c>
      <c r="L115">
        <v>1</v>
      </c>
      <c r="M115" s="14">
        <f t="shared" si="15"/>
        <v>192</v>
      </c>
      <c r="N115">
        <v>8</v>
      </c>
      <c r="O115" s="14">
        <f t="shared" si="16"/>
        <v>1584</v>
      </c>
      <c r="P115">
        <v>5</v>
      </c>
      <c r="Q115" s="14">
        <f t="shared" si="17"/>
        <v>1020</v>
      </c>
      <c r="R115">
        <v>17</v>
      </c>
      <c r="S115" s="14">
        <f t="shared" si="18"/>
        <v>3570</v>
      </c>
      <c r="T115">
        <v>9</v>
      </c>
      <c r="U115" s="14">
        <f t="shared" si="19"/>
        <v>1944</v>
      </c>
      <c r="V115">
        <v>14</v>
      </c>
      <c r="W115" s="14">
        <f t="shared" si="25"/>
        <v>3108</v>
      </c>
      <c r="X115">
        <v>5</v>
      </c>
      <c r="Y115" s="14">
        <f t="shared" si="27"/>
        <v>1140</v>
      </c>
      <c r="Z115">
        <v>5</v>
      </c>
      <c r="AA115" s="14">
        <f t="shared" si="20"/>
        <v>1170</v>
      </c>
      <c r="AB115">
        <v>1</v>
      </c>
      <c r="AC115" s="14">
        <f t="shared" si="28"/>
        <v>240</v>
      </c>
      <c r="AD115" t="s">
        <v>33</v>
      </c>
      <c r="AE115" s="14" t="s">
        <v>33</v>
      </c>
      <c r="AF115">
        <v>1</v>
      </c>
      <c r="AG115" s="14">
        <f t="shared" si="26"/>
        <v>252</v>
      </c>
      <c r="AH115">
        <v>0</v>
      </c>
      <c r="AI115" s="14">
        <f>AH115*258</f>
        <v>0</v>
      </c>
      <c r="AJ115" t="s">
        <v>33</v>
      </c>
      <c r="AK115" s="14" t="s">
        <v>33</v>
      </c>
      <c r="AL115" t="s">
        <v>33</v>
      </c>
      <c r="AM115" s="14" t="s">
        <v>33</v>
      </c>
      <c r="AN115" t="s">
        <v>33</v>
      </c>
      <c r="AO115" s="14" t="s">
        <v>33</v>
      </c>
      <c r="AP115" t="s">
        <v>33</v>
      </c>
      <c r="AQ115" s="14" t="s">
        <v>33</v>
      </c>
      <c r="AR115" t="s">
        <v>33</v>
      </c>
      <c r="AS115" s="14" t="s">
        <v>33</v>
      </c>
      <c r="AT115" t="s">
        <v>33</v>
      </c>
      <c r="AU115" s="14" t="s">
        <v>33</v>
      </c>
      <c r="AV115" t="s">
        <v>33</v>
      </c>
      <c r="AW115" s="14" t="s">
        <v>33</v>
      </c>
      <c r="AX115" t="s">
        <v>33</v>
      </c>
      <c r="AY115" s="14" t="s">
        <v>33</v>
      </c>
      <c r="AZ115" t="s">
        <v>33</v>
      </c>
      <c r="BA115" s="14" t="s">
        <v>33</v>
      </c>
      <c r="BB115" t="s">
        <v>33</v>
      </c>
      <c r="BC115" s="14" t="s">
        <v>33</v>
      </c>
      <c r="BD115">
        <f t="shared" si="21"/>
        <v>150</v>
      </c>
      <c r="BE115">
        <f t="shared" si="22"/>
        <v>29340</v>
      </c>
      <c r="BF115">
        <f t="shared" si="23"/>
        <v>195.6</v>
      </c>
    </row>
    <row r="116" spans="1:59" x14ac:dyDescent="0.2">
      <c r="A116" t="s">
        <v>19</v>
      </c>
      <c r="B116" t="s">
        <v>5</v>
      </c>
      <c r="C116" t="s">
        <v>30</v>
      </c>
      <c r="D116" t="s">
        <v>33</v>
      </c>
      <c r="E116" s="14" t="s">
        <v>33</v>
      </c>
      <c r="F116" t="s">
        <v>33</v>
      </c>
      <c r="G116" s="14" t="s">
        <v>33</v>
      </c>
      <c r="H116">
        <v>85</v>
      </c>
      <c r="I116" s="14">
        <f t="shared" si="13"/>
        <v>15300</v>
      </c>
      <c r="J116">
        <v>3</v>
      </c>
      <c r="K116" s="14">
        <f t="shared" si="14"/>
        <v>558</v>
      </c>
      <c r="L116">
        <v>5</v>
      </c>
      <c r="M116" s="14">
        <f t="shared" si="15"/>
        <v>960</v>
      </c>
      <c r="N116">
        <v>12</v>
      </c>
      <c r="O116" s="14">
        <f t="shared" si="16"/>
        <v>2376</v>
      </c>
      <c r="P116">
        <v>6</v>
      </c>
      <c r="Q116" s="14">
        <f t="shared" si="17"/>
        <v>1224</v>
      </c>
      <c r="R116">
        <v>16</v>
      </c>
      <c r="S116" s="14">
        <f t="shared" si="18"/>
        <v>3360</v>
      </c>
      <c r="T116">
        <v>8</v>
      </c>
      <c r="U116" s="14">
        <f t="shared" si="19"/>
        <v>1728</v>
      </c>
      <c r="V116">
        <v>9</v>
      </c>
      <c r="W116" s="14">
        <f t="shared" si="25"/>
        <v>1998</v>
      </c>
      <c r="X116">
        <v>1</v>
      </c>
      <c r="Y116" s="14">
        <f t="shared" si="27"/>
        <v>228</v>
      </c>
      <c r="Z116">
        <v>1</v>
      </c>
      <c r="AA116" s="14">
        <f t="shared" si="20"/>
        <v>234</v>
      </c>
      <c r="AB116">
        <v>1</v>
      </c>
      <c r="AC116" s="14">
        <f t="shared" si="28"/>
        <v>240</v>
      </c>
      <c r="AD116" t="s">
        <v>33</v>
      </c>
      <c r="AE116" s="14" t="s">
        <v>33</v>
      </c>
      <c r="AF116">
        <v>0</v>
      </c>
      <c r="AG116" s="14">
        <f t="shared" si="26"/>
        <v>0</v>
      </c>
      <c r="AH116">
        <v>1</v>
      </c>
      <c r="AI116" s="14">
        <f>AH116*258</f>
        <v>258</v>
      </c>
      <c r="AJ116" t="s">
        <v>33</v>
      </c>
      <c r="AK116" s="14" t="s">
        <v>33</v>
      </c>
      <c r="AL116" t="s">
        <v>33</v>
      </c>
      <c r="AM116" s="14" t="s">
        <v>33</v>
      </c>
      <c r="AN116" t="s">
        <v>33</v>
      </c>
      <c r="AO116" s="14" t="s">
        <v>33</v>
      </c>
      <c r="AP116" t="s">
        <v>33</v>
      </c>
      <c r="AQ116" s="14" t="s">
        <v>33</v>
      </c>
      <c r="AR116" t="s">
        <v>33</v>
      </c>
      <c r="AS116" s="14" t="s">
        <v>33</v>
      </c>
      <c r="AT116" t="s">
        <v>33</v>
      </c>
      <c r="AU116" s="14" t="s">
        <v>33</v>
      </c>
      <c r="AV116" t="s">
        <v>33</v>
      </c>
      <c r="AW116" s="14" t="s">
        <v>33</v>
      </c>
      <c r="AX116" t="s">
        <v>33</v>
      </c>
      <c r="AY116" s="14" t="s">
        <v>33</v>
      </c>
      <c r="AZ116" t="s">
        <v>33</v>
      </c>
      <c r="BA116" s="14" t="s">
        <v>33</v>
      </c>
      <c r="BB116" t="s">
        <v>33</v>
      </c>
      <c r="BC116" s="14" t="s">
        <v>33</v>
      </c>
      <c r="BD116">
        <f t="shared" si="21"/>
        <v>148</v>
      </c>
      <c r="BE116">
        <f t="shared" si="22"/>
        <v>28464</v>
      </c>
      <c r="BF116">
        <f t="shared" si="23"/>
        <v>192.32432432432432</v>
      </c>
    </row>
    <row r="117" spans="1:59" x14ac:dyDescent="0.2">
      <c r="A117" t="s">
        <v>19</v>
      </c>
      <c r="B117" t="s">
        <v>6</v>
      </c>
      <c r="C117" t="s">
        <v>29</v>
      </c>
      <c r="D117" t="s">
        <v>33</v>
      </c>
      <c r="E117" s="14" t="s">
        <v>33</v>
      </c>
      <c r="F117" t="s">
        <v>33</v>
      </c>
      <c r="G117" s="14" t="s">
        <v>33</v>
      </c>
      <c r="H117">
        <v>86</v>
      </c>
      <c r="I117" s="14">
        <f t="shared" si="13"/>
        <v>15480</v>
      </c>
      <c r="J117">
        <v>0</v>
      </c>
      <c r="K117" s="14">
        <f t="shared" si="14"/>
        <v>0</v>
      </c>
      <c r="L117">
        <v>2</v>
      </c>
      <c r="M117" s="14">
        <f t="shared" si="15"/>
        <v>384</v>
      </c>
      <c r="N117">
        <v>11</v>
      </c>
      <c r="O117" s="14">
        <f t="shared" si="16"/>
        <v>2178</v>
      </c>
      <c r="P117">
        <v>13</v>
      </c>
      <c r="Q117" s="14">
        <f t="shared" si="17"/>
        <v>2652</v>
      </c>
      <c r="R117">
        <v>14</v>
      </c>
      <c r="S117" s="14">
        <f t="shared" si="18"/>
        <v>2940</v>
      </c>
      <c r="T117">
        <v>11</v>
      </c>
      <c r="U117" s="14">
        <f t="shared" si="19"/>
        <v>2376</v>
      </c>
      <c r="V117">
        <v>10</v>
      </c>
      <c r="W117" s="14">
        <f t="shared" si="25"/>
        <v>2220</v>
      </c>
      <c r="X117">
        <v>3</v>
      </c>
      <c r="Y117" s="14">
        <f t="shared" si="27"/>
        <v>684</v>
      </c>
      <c r="Z117">
        <v>3</v>
      </c>
      <c r="AA117" s="14">
        <f t="shared" si="20"/>
        <v>702</v>
      </c>
      <c r="AB117" t="s">
        <v>33</v>
      </c>
      <c r="AC117" s="14" t="s">
        <v>33</v>
      </c>
      <c r="AD117" t="s">
        <v>33</v>
      </c>
      <c r="AE117" s="14" t="s">
        <v>33</v>
      </c>
      <c r="AF117" t="s">
        <v>33</v>
      </c>
      <c r="AG117" s="14" t="s">
        <v>33</v>
      </c>
      <c r="AH117" t="s">
        <v>33</v>
      </c>
      <c r="AI117" s="14" t="s">
        <v>33</v>
      </c>
      <c r="AJ117" t="s">
        <v>33</v>
      </c>
      <c r="AK117" s="14" t="s">
        <v>33</v>
      </c>
      <c r="AL117" t="s">
        <v>33</v>
      </c>
      <c r="AM117" s="14" t="s">
        <v>33</v>
      </c>
      <c r="AN117" t="s">
        <v>33</v>
      </c>
      <c r="AO117" s="14" t="s">
        <v>33</v>
      </c>
      <c r="AP117" t="s">
        <v>33</v>
      </c>
      <c r="AQ117" s="14" t="s">
        <v>33</v>
      </c>
      <c r="AR117" t="s">
        <v>33</v>
      </c>
      <c r="AS117" s="14" t="s">
        <v>33</v>
      </c>
      <c r="AT117" t="s">
        <v>33</v>
      </c>
      <c r="AU117" s="14" t="s">
        <v>33</v>
      </c>
      <c r="AV117" t="s">
        <v>33</v>
      </c>
      <c r="AW117" s="14" t="s">
        <v>33</v>
      </c>
      <c r="AX117" t="s">
        <v>33</v>
      </c>
      <c r="AY117" s="14" t="s">
        <v>33</v>
      </c>
      <c r="AZ117" t="s">
        <v>33</v>
      </c>
      <c r="BA117" s="14" t="s">
        <v>33</v>
      </c>
      <c r="BB117" t="s">
        <v>33</v>
      </c>
      <c r="BC117" s="14" t="s">
        <v>33</v>
      </c>
      <c r="BD117">
        <f t="shared" si="21"/>
        <v>153</v>
      </c>
      <c r="BE117">
        <f t="shared" si="22"/>
        <v>29616</v>
      </c>
      <c r="BF117">
        <f t="shared" si="23"/>
        <v>193.56862745098039</v>
      </c>
    </row>
    <row r="118" spans="1:59" x14ac:dyDescent="0.2">
      <c r="A118" t="s">
        <v>19</v>
      </c>
      <c r="B118" t="s">
        <v>6</v>
      </c>
      <c r="C118" t="s">
        <v>30</v>
      </c>
      <c r="D118" t="s">
        <v>33</v>
      </c>
      <c r="E118" s="14" t="s">
        <v>33</v>
      </c>
      <c r="F118" t="s">
        <v>33</v>
      </c>
      <c r="G118" s="14" t="s">
        <v>33</v>
      </c>
      <c r="H118">
        <v>87</v>
      </c>
      <c r="I118" s="14">
        <f t="shared" si="13"/>
        <v>15660</v>
      </c>
      <c r="J118">
        <v>1</v>
      </c>
      <c r="K118" s="14">
        <f t="shared" si="14"/>
        <v>186</v>
      </c>
      <c r="L118">
        <v>9</v>
      </c>
      <c r="M118" s="14">
        <f t="shared" si="15"/>
        <v>1728</v>
      </c>
      <c r="N118">
        <v>12</v>
      </c>
      <c r="O118" s="14">
        <f t="shared" si="16"/>
        <v>2376</v>
      </c>
      <c r="P118">
        <v>13</v>
      </c>
      <c r="Q118" s="14">
        <f t="shared" si="17"/>
        <v>2652</v>
      </c>
      <c r="R118">
        <v>17</v>
      </c>
      <c r="S118" s="14">
        <f t="shared" si="18"/>
        <v>3570</v>
      </c>
      <c r="T118">
        <v>7</v>
      </c>
      <c r="U118" s="14">
        <f t="shared" si="19"/>
        <v>1512</v>
      </c>
      <c r="V118">
        <v>2</v>
      </c>
      <c r="W118" s="14">
        <f t="shared" si="25"/>
        <v>444</v>
      </c>
      <c r="X118">
        <v>0</v>
      </c>
      <c r="Y118" s="14">
        <f t="shared" si="27"/>
        <v>0</v>
      </c>
      <c r="Z118">
        <v>1</v>
      </c>
      <c r="AA118" s="14">
        <f t="shared" si="20"/>
        <v>234</v>
      </c>
      <c r="AB118" t="s">
        <v>33</v>
      </c>
      <c r="AC118" s="14" t="s">
        <v>33</v>
      </c>
      <c r="AD118" t="s">
        <v>33</v>
      </c>
      <c r="AE118" s="14" t="s">
        <v>33</v>
      </c>
      <c r="AF118" t="s">
        <v>33</v>
      </c>
      <c r="AG118" s="14" t="s">
        <v>33</v>
      </c>
      <c r="AH118" t="s">
        <v>33</v>
      </c>
      <c r="AI118" s="14" t="s">
        <v>33</v>
      </c>
      <c r="AJ118" t="s">
        <v>33</v>
      </c>
      <c r="AK118" s="14" t="s">
        <v>33</v>
      </c>
      <c r="AL118" t="s">
        <v>33</v>
      </c>
      <c r="AM118" s="14" t="s">
        <v>33</v>
      </c>
      <c r="AN118" t="s">
        <v>33</v>
      </c>
      <c r="AO118" s="14" t="s">
        <v>33</v>
      </c>
      <c r="AP118" t="s">
        <v>33</v>
      </c>
      <c r="AQ118" s="14" t="s">
        <v>33</v>
      </c>
      <c r="AR118" t="s">
        <v>33</v>
      </c>
      <c r="AS118" s="14" t="s">
        <v>33</v>
      </c>
      <c r="AT118" t="s">
        <v>33</v>
      </c>
      <c r="AU118" s="14" t="s">
        <v>33</v>
      </c>
      <c r="AV118" t="s">
        <v>33</v>
      </c>
      <c r="AW118" s="14" t="s">
        <v>33</v>
      </c>
      <c r="AX118" t="s">
        <v>33</v>
      </c>
      <c r="AY118" s="14" t="s">
        <v>33</v>
      </c>
      <c r="AZ118" t="s">
        <v>33</v>
      </c>
      <c r="BA118" s="14" t="s">
        <v>33</v>
      </c>
      <c r="BB118" t="s">
        <v>33</v>
      </c>
      <c r="BC118" s="14" t="s">
        <v>33</v>
      </c>
      <c r="BD118">
        <f t="shared" si="21"/>
        <v>149</v>
      </c>
      <c r="BE118">
        <f t="shared" si="22"/>
        <v>28362</v>
      </c>
      <c r="BF118">
        <f t="shared" si="23"/>
        <v>190.34899328859061</v>
      </c>
    </row>
    <row r="119" spans="1:59" x14ac:dyDescent="0.2">
      <c r="A119" t="s">
        <v>19</v>
      </c>
      <c r="B119" t="s">
        <v>7</v>
      </c>
      <c r="C119" t="s">
        <v>29</v>
      </c>
      <c r="D119" t="s">
        <v>33</v>
      </c>
      <c r="E119" s="14" t="s">
        <v>33</v>
      </c>
      <c r="F119" t="s">
        <v>33</v>
      </c>
      <c r="G119" s="14" t="s">
        <v>33</v>
      </c>
      <c r="H119">
        <v>88</v>
      </c>
      <c r="I119" s="14">
        <f t="shared" si="13"/>
        <v>15840</v>
      </c>
      <c r="J119">
        <v>1</v>
      </c>
      <c r="K119" s="14">
        <f t="shared" si="14"/>
        <v>186</v>
      </c>
      <c r="L119">
        <v>8</v>
      </c>
      <c r="M119" s="14">
        <f t="shared" si="15"/>
        <v>1536</v>
      </c>
      <c r="N119">
        <v>8</v>
      </c>
      <c r="O119" s="14">
        <f t="shared" si="16"/>
        <v>1584</v>
      </c>
      <c r="P119">
        <v>10</v>
      </c>
      <c r="Q119" s="14">
        <f t="shared" si="17"/>
        <v>2040</v>
      </c>
      <c r="R119">
        <v>16</v>
      </c>
      <c r="S119" s="14">
        <f t="shared" si="18"/>
        <v>3360</v>
      </c>
      <c r="T119">
        <v>13</v>
      </c>
      <c r="U119" s="14">
        <f t="shared" si="19"/>
        <v>2808</v>
      </c>
      <c r="V119">
        <v>2</v>
      </c>
      <c r="W119" s="14">
        <f t="shared" si="25"/>
        <v>444</v>
      </c>
      <c r="X119">
        <v>3</v>
      </c>
      <c r="Y119" s="14">
        <f t="shared" si="27"/>
        <v>684</v>
      </c>
      <c r="Z119">
        <v>2</v>
      </c>
      <c r="AA119" s="14">
        <f t="shared" si="20"/>
        <v>468</v>
      </c>
      <c r="AB119" t="s">
        <v>33</v>
      </c>
      <c r="AC119" s="14" t="s">
        <v>33</v>
      </c>
      <c r="AD119">
        <v>1</v>
      </c>
      <c r="AE119" s="14">
        <f t="shared" ref="AE119:AE131" si="29">AD119*246</f>
        <v>246</v>
      </c>
      <c r="AF119" t="s">
        <v>33</v>
      </c>
      <c r="AG119" s="14" t="s">
        <v>33</v>
      </c>
      <c r="AH119" t="s">
        <v>33</v>
      </c>
      <c r="AI119" s="14" t="s">
        <v>33</v>
      </c>
      <c r="AJ119" t="s">
        <v>33</v>
      </c>
      <c r="AK119" s="14" t="s">
        <v>33</v>
      </c>
      <c r="AL119">
        <v>1</v>
      </c>
      <c r="AM119" s="14">
        <f>AL119*270</f>
        <v>270</v>
      </c>
      <c r="AN119" t="s">
        <v>33</v>
      </c>
      <c r="AO119" s="14" t="s">
        <v>33</v>
      </c>
      <c r="AP119" t="s">
        <v>33</v>
      </c>
      <c r="AQ119" s="14" t="s">
        <v>33</v>
      </c>
      <c r="AR119" t="s">
        <v>33</v>
      </c>
      <c r="AS119" s="14" t="s">
        <v>33</v>
      </c>
      <c r="AT119" t="s">
        <v>33</v>
      </c>
      <c r="AU119" s="14" t="s">
        <v>33</v>
      </c>
      <c r="AV119" t="s">
        <v>33</v>
      </c>
      <c r="AW119" s="14" t="s">
        <v>33</v>
      </c>
      <c r="AX119" t="s">
        <v>33</v>
      </c>
      <c r="AY119" s="14" t="s">
        <v>33</v>
      </c>
      <c r="AZ119" t="s">
        <v>33</v>
      </c>
      <c r="BA119" s="14" t="s">
        <v>33</v>
      </c>
      <c r="BB119" t="s">
        <v>33</v>
      </c>
      <c r="BC119" s="14" t="s">
        <v>33</v>
      </c>
      <c r="BD119">
        <f t="shared" si="21"/>
        <v>153</v>
      </c>
      <c r="BE119">
        <f t="shared" si="22"/>
        <v>29466</v>
      </c>
      <c r="BF119">
        <f t="shared" si="23"/>
        <v>192.58823529411765</v>
      </c>
    </row>
    <row r="120" spans="1:59" x14ac:dyDescent="0.2">
      <c r="A120" t="s">
        <v>19</v>
      </c>
      <c r="B120" t="s">
        <v>7</v>
      </c>
      <c r="C120" t="s">
        <v>30</v>
      </c>
      <c r="D120" t="s">
        <v>33</v>
      </c>
      <c r="E120" s="14" t="s">
        <v>33</v>
      </c>
      <c r="F120" t="s">
        <v>33</v>
      </c>
      <c r="G120" s="14" t="s">
        <v>33</v>
      </c>
      <c r="H120">
        <v>89</v>
      </c>
      <c r="I120" s="14">
        <f t="shared" si="13"/>
        <v>16020</v>
      </c>
      <c r="J120">
        <v>1</v>
      </c>
      <c r="K120" s="14">
        <f t="shared" si="14"/>
        <v>186</v>
      </c>
      <c r="L120">
        <v>9</v>
      </c>
      <c r="M120" s="14">
        <f t="shared" si="15"/>
        <v>1728</v>
      </c>
      <c r="N120">
        <v>12</v>
      </c>
      <c r="O120" s="14">
        <f t="shared" si="16"/>
        <v>2376</v>
      </c>
      <c r="P120">
        <v>15</v>
      </c>
      <c r="Q120" s="14">
        <f t="shared" si="17"/>
        <v>3060</v>
      </c>
      <c r="R120">
        <v>20</v>
      </c>
      <c r="S120" s="14">
        <f t="shared" si="18"/>
        <v>4200</v>
      </c>
      <c r="T120">
        <v>8</v>
      </c>
      <c r="U120" s="14">
        <f t="shared" si="19"/>
        <v>1728</v>
      </c>
      <c r="V120">
        <v>3</v>
      </c>
      <c r="W120" s="14">
        <f t="shared" si="25"/>
        <v>666</v>
      </c>
      <c r="X120">
        <v>1</v>
      </c>
      <c r="Y120" s="14">
        <f t="shared" si="27"/>
        <v>228</v>
      </c>
      <c r="Z120">
        <v>0</v>
      </c>
      <c r="AA120" s="14">
        <f t="shared" si="20"/>
        <v>0</v>
      </c>
      <c r="AB120" t="s">
        <v>33</v>
      </c>
      <c r="AC120" s="14" t="s">
        <v>33</v>
      </c>
      <c r="AD120">
        <v>0</v>
      </c>
      <c r="AE120" s="14">
        <f t="shared" si="29"/>
        <v>0</v>
      </c>
      <c r="AF120" t="s">
        <v>33</v>
      </c>
      <c r="AG120" s="14" t="s">
        <v>33</v>
      </c>
      <c r="AH120" t="s">
        <v>33</v>
      </c>
      <c r="AI120" s="14" t="s">
        <v>33</v>
      </c>
      <c r="AJ120" t="s">
        <v>33</v>
      </c>
      <c r="AK120" s="14" t="s">
        <v>33</v>
      </c>
      <c r="AL120">
        <v>0</v>
      </c>
      <c r="AM120" s="14">
        <f>AL120*270</f>
        <v>0</v>
      </c>
      <c r="AN120" t="s">
        <v>33</v>
      </c>
      <c r="AO120" s="14" t="s">
        <v>33</v>
      </c>
      <c r="AP120" t="s">
        <v>33</v>
      </c>
      <c r="AQ120" s="14" t="s">
        <v>33</v>
      </c>
      <c r="AR120" t="s">
        <v>33</v>
      </c>
      <c r="AS120" s="14" t="s">
        <v>33</v>
      </c>
      <c r="AT120" t="s">
        <v>33</v>
      </c>
      <c r="AU120" s="14" t="s">
        <v>33</v>
      </c>
      <c r="AV120" t="s">
        <v>33</v>
      </c>
      <c r="AW120" s="14" t="s">
        <v>33</v>
      </c>
      <c r="AX120" t="s">
        <v>33</v>
      </c>
      <c r="AY120" s="14" t="s">
        <v>33</v>
      </c>
      <c r="AZ120" t="s">
        <v>33</v>
      </c>
      <c r="BA120" s="14" t="s">
        <v>33</v>
      </c>
      <c r="BB120" t="s">
        <v>33</v>
      </c>
      <c r="BC120" s="14" t="s">
        <v>33</v>
      </c>
      <c r="BD120">
        <f t="shared" si="21"/>
        <v>158</v>
      </c>
      <c r="BE120">
        <f t="shared" si="22"/>
        <v>30192</v>
      </c>
      <c r="BF120">
        <f t="shared" si="23"/>
        <v>191.08860759493672</v>
      </c>
    </row>
    <row r="121" spans="1:59" x14ac:dyDescent="0.2">
      <c r="A121" t="s">
        <v>19</v>
      </c>
      <c r="B121" t="s">
        <v>8</v>
      </c>
      <c r="C121" t="s">
        <v>29</v>
      </c>
      <c r="D121" t="s">
        <v>33</v>
      </c>
      <c r="E121" s="14" t="s">
        <v>33</v>
      </c>
      <c r="F121" t="s">
        <v>33</v>
      </c>
      <c r="G121" s="14" t="s">
        <v>33</v>
      </c>
      <c r="H121">
        <v>90</v>
      </c>
      <c r="I121" s="14">
        <f t="shared" si="13"/>
        <v>16200</v>
      </c>
      <c r="J121">
        <v>1</v>
      </c>
      <c r="K121" s="14">
        <f t="shared" si="14"/>
        <v>186</v>
      </c>
      <c r="L121">
        <v>3</v>
      </c>
      <c r="M121" s="14">
        <f t="shared" si="15"/>
        <v>576</v>
      </c>
      <c r="N121">
        <v>8</v>
      </c>
      <c r="O121" s="14">
        <f t="shared" si="16"/>
        <v>1584</v>
      </c>
      <c r="P121">
        <v>10</v>
      </c>
      <c r="Q121" s="14">
        <f t="shared" si="17"/>
        <v>2040</v>
      </c>
      <c r="R121">
        <v>25</v>
      </c>
      <c r="S121" s="14">
        <f t="shared" si="18"/>
        <v>5250</v>
      </c>
      <c r="T121">
        <v>6</v>
      </c>
      <c r="U121" s="14">
        <f t="shared" si="19"/>
        <v>1296</v>
      </c>
      <c r="V121">
        <v>5</v>
      </c>
      <c r="W121" s="14">
        <f t="shared" si="25"/>
        <v>1110</v>
      </c>
      <c r="X121">
        <v>8</v>
      </c>
      <c r="Y121" s="14">
        <f t="shared" si="27"/>
        <v>1824</v>
      </c>
      <c r="Z121">
        <v>2</v>
      </c>
      <c r="AA121" s="14">
        <f t="shared" si="20"/>
        <v>468</v>
      </c>
      <c r="AB121">
        <v>2</v>
      </c>
      <c r="AC121" s="14">
        <f t="shared" ref="AC121:AC128" si="30">AB121*240</f>
        <v>480</v>
      </c>
      <c r="AD121" t="s">
        <v>33</v>
      </c>
      <c r="AE121" s="14" t="s">
        <v>33</v>
      </c>
      <c r="AF121" t="s">
        <v>33</v>
      </c>
      <c r="AG121" s="14" t="s">
        <v>33</v>
      </c>
      <c r="AH121" t="s">
        <v>33</v>
      </c>
      <c r="AI121" s="14" t="s">
        <v>33</v>
      </c>
      <c r="AJ121" t="s">
        <v>33</v>
      </c>
      <c r="AK121" s="14" t="s">
        <v>33</v>
      </c>
      <c r="AL121" t="s">
        <v>33</v>
      </c>
      <c r="AM121" s="14" t="s">
        <v>33</v>
      </c>
      <c r="AN121" t="s">
        <v>33</v>
      </c>
      <c r="AO121" s="14" t="s">
        <v>33</v>
      </c>
      <c r="AP121" t="s">
        <v>33</v>
      </c>
      <c r="AQ121" s="14" t="s">
        <v>33</v>
      </c>
      <c r="AR121" t="s">
        <v>33</v>
      </c>
      <c r="AS121" s="14" t="s">
        <v>33</v>
      </c>
      <c r="AT121" t="s">
        <v>33</v>
      </c>
      <c r="AU121" s="14" t="s">
        <v>33</v>
      </c>
      <c r="AV121" t="s">
        <v>33</v>
      </c>
      <c r="AW121" s="14" t="s">
        <v>33</v>
      </c>
      <c r="AX121" t="s">
        <v>33</v>
      </c>
      <c r="AY121" s="14" t="s">
        <v>33</v>
      </c>
      <c r="AZ121" t="s">
        <v>33</v>
      </c>
      <c r="BA121" s="14" t="s">
        <v>33</v>
      </c>
      <c r="BB121" t="s">
        <v>33</v>
      </c>
      <c r="BC121" s="14" t="s">
        <v>33</v>
      </c>
      <c r="BD121">
        <f t="shared" si="21"/>
        <v>160</v>
      </c>
      <c r="BE121">
        <f t="shared" si="22"/>
        <v>31014</v>
      </c>
      <c r="BF121">
        <f t="shared" si="23"/>
        <v>193.83750000000001</v>
      </c>
    </row>
    <row r="122" spans="1:59" x14ac:dyDescent="0.2">
      <c r="A122" t="s">
        <v>19</v>
      </c>
      <c r="B122" t="s">
        <v>8</v>
      </c>
      <c r="C122" t="s">
        <v>30</v>
      </c>
      <c r="D122" t="s">
        <v>33</v>
      </c>
      <c r="E122" s="14" t="s">
        <v>33</v>
      </c>
      <c r="F122" t="s">
        <v>33</v>
      </c>
      <c r="G122" s="14" t="s">
        <v>33</v>
      </c>
      <c r="H122">
        <v>91</v>
      </c>
      <c r="I122" s="14">
        <f t="shared" si="13"/>
        <v>16380</v>
      </c>
      <c r="J122">
        <v>1</v>
      </c>
      <c r="K122" s="14">
        <f t="shared" si="14"/>
        <v>186</v>
      </c>
      <c r="L122">
        <v>9</v>
      </c>
      <c r="M122" s="14">
        <f t="shared" si="15"/>
        <v>1728</v>
      </c>
      <c r="N122">
        <v>12</v>
      </c>
      <c r="O122" s="14">
        <f t="shared" si="16"/>
        <v>2376</v>
      </c>
      <c r="P122">
        <v>12</v>
      </c>
      <c r="Q122" s="14">
        <f t="shared" si="17"/>
        <v>2448</v>
      </c>
      <c r="R122">
        <v>18</v>
      </c>
      <c r="S122" s="14">
        <f t="shared" si="18"/>
        <v>3780</v>
      </c>
      <c r="T122">
        <v>9</v>
      </c>
      <c r="U122" s="14">
        <f t="shared" si="19"/>
        <v>1944</v>
      </c>
      <c r="V122">
        <v>2</v>
      </c>
      <c r="W122" s="14">
        <f t="shared" si="25"/>
        <v>444</v>
      </c>
      <c r="X122">
        <v>1</v>
      </c>
      <c r="Y122" s="14">
        <f t="shared" si="27"/>
        <v>228</v>
      </c>
      <c r="Z122">
        <v>0</v>
      </c>
      <c r="AA122" s="14">
        <f t="shared" si="20"/>
        <v>0</v>
      </c>
      <c r="AB122">
        <v>0</v>
      </c>
      <c r="AC122" s="14">
        <f t="shared" si="30"/>
        <v>0</v>
      </c>
      <c r="AD122" t="s">
        <v>33</v>
      </c>
      <c r="AE122" s="14" t="s">
        <v>33</v>
      </c>
      <c r="AF122" t="s">
        <v>33</v>
      </c>
      <c r="AG122" s="14" t="s">
        <v>33</v>
      </c>
      <c r="AH122" t="s">
        <v>33</v>
      </c>
      <c r="AI122" s="14" t="s">
        <v>33</v>
      </c>
      <c r="AJ122" t="s">
        <v>33</v>
      </c>
      <c r="AK122" s="14" t="s">
        <v>33</v>
      </c>
      <c r="AL122" t="s">
        <v>33</v>
      </c>
      <c r="AM122" s="14" t="s">
        <v>33</v>
      </c>
      <c r="AN122" t="s">
        <v>33</v>
      </c>
      <c r="AO122" s="14" t="s">
        <v>33</v>
      </c>
      <c r="AP122" t="s">
        <v>33</v>
      </c>
      <c r="AQ122" s="14" t="s">
        <v>33</v>
      </c>
      <c r="AR122" t="s">
        <v>33</v>
      </c>
      <c r="AS122" s="14" t="s">
        <v>33</v>
      </c>
      <c r="AT122" t="s">
        <v>33</v>
      </c>
      <c r="AU122" s="14" t="s">
        <v>33</v>
      </c>
      <c r="AV122" t="s">
        <v>33</v>
      </c>
      <c r="AW122" s="14" t="s">
        <v>33</v>
      </c>
      <c r="AX122" t="s">
        <v>33</v>
      </c>
      <c r="AY122" s="14" t="s">
        <v>33</v>
      </c>
      <c r="AZ122" t="s">
        <v>33</v>
      </c>
      <c r="BA122" s="14" t="s">
        <v>33</v>
      </c>
      <c r="BB122" t="s">
        <v>33</v>
      </c>
      <c r="BC122" s="14" t="s">
        <v>33</v>
      </c>
      <c r="BD122">
        <f t="shared" si="21"/>
        <v>155</v>
      </c>
      <c r="BE122">
        <f t="shared" si="22"/>
        <v>29514</v>
      </c>
      <c r="BF122">
        <f t="shared" si="23"/>
        <v>190.41290322580645</v>
      </c>
    </row>
    <row r="123" spans="1:59" x14ac:dyDescent="0.2">
      <c r="A123" t="s">
        <v>20</v>
      </c>
      <c r="B123" t="s">
        <v>4</v>
      </c>
      <c r="C123" t="s">
        <v>29</v>
      </c>
      <c r="D123" t="s">
        <v>33</v>
      </c>
      <c r="E123" s="14" t="s">
        <v>33</v>
      </c>
      <c r="F123" t="s">
        <v>33</v>
      </c>
      <c r="G123" s="14" t="s">
        <v>33</v>
      </c>
      <c r="H123">
        <v>92</v>
      </c>
      <c r="I123" s="14">
        <f t="shared" si="13"/>
        <v>16560</v>
      </c>
      <c r="J123">
        <v>1</v>
      </c>
      <c r="K123" s="14">
        <f t="shared" si="14"/>
        <v>186</v>
      </c>
      <c r="L123">
        <v>0</v>
      </c>
      <c r="M123" s="14">
        <f t="shared" si="15"/>
        <v>0</v>
      </c>
      <c r="N123">
        <v>4</v>
      </c>
      <c r="O123" s="14">
        <f t="shared" si="16"/>
        <v>792</v>
      </c>
      <c r="P123">
        <v>6</v>
      </c>
      <c r="Q123" s="14">
        <f t="shared" si="17"/>
        <v>1224</v>
      </c>
      <c r="R123">
        <v>13</v>
      </c>
      <c r="S123" s="14">
        <f t="shared" si="18"/>
        <v>2730</v>
      </c>
      <c r="T123">
        <v>8</v>
      </c>
      <c r="U123" s="14">
        <f t="shared" si="19"/>
        <v>1728</v>
      </c>
      <c r="V123">
        <v>13</v>
      </c>
      <c r="W123" s="14">
        <f t="shared" si="25"/>
        <v>2886</v>
      </c>
      <c r="X123">
        <v>11</v>
      </c>
      <c r="Y123" s="14">
        <f t="shared" si="27"/>
        <v>2508</v>
      </c>
      <c r="Z123">
        <v>8</v>
      </c>
      <c r="AA123" s="14">
        <f t="shared" si="20"/>
        <v>1872</v>
      </c>
      <c r="AB123">
        <v>5</v>
      </c>
      <c r="AC123" s="14">
        <f t="shared" si="30"/>
        <v>1200</v>
      </c>
      <c r="AD123" t="s">
        <v>33</v>
      </c>
      <c r="AE123" s="14" t="s">
        <v>33</v>
      </c>
      <c r="AF123">
        <v>3</v>
      </c>
      <c r="AG123" s="14">
        <f t="shared" ref="AG123:AG132" si="31">AF123*252</f>
        <v>756</v>
      </c>
      <c r="AH123">
        <v>1</v>
      </c>
      <c r="AI123" s="14">
        <f t="shared" ref="AI123:AI128" si="32">AH123*258</f>
        <v>258</v>
      </c>
      <c r="AJ123" t="s">
        <v>33</v>
      </c>
      <c r="AK123" s="14" t="s">
        <v>33</v>
      </c>
      <c r="AL123" t="s">
        <v>33</v>
      </c>
      <c r="AM123" s="14" t="s">
        <v>33</v>
      </c>
      <c r="AN123" t="s">
        <v>33</v>
      </c>
      <c r="AO123" s="14" t="s">
        <v>33</v>
      </c>
      <c r="AP123" t="s">
        <v>33</v>
      </c>
      <c r="AQ123" s="14" t="s">
        <v>33</v>
      </c>
      <c r="AR123">
        <v>1</v>
      </c>
      <c r="AS123" s="14">
        <f>AR123*288</f>
        <v>288</v>
      </c>
      <c r="AT123" t="s">
        <v>33</v>
      </c>
      <c r="AU123" s="14" t="s">
        <v>33</v>
      </c>
      <c r="AV123" t="s">
        <v>33</v>
      </c>
      <c r="AW123" s="14" t="s">
        <v>33</v>
      </c>
      <c r="AX123" t="s">
        <v>33</v>
      </c>
      <c r="AY123" s="14" t="s">
        <v>33</v>
      </c>
      <c r="AZ123" t="s">
        <v>33</v>
      </c>
      <c r="BA123" s="14" t="s">
        <v>33</v>
      </c>
      <c r="BB123" t="s">
        <v>33</v>
      </c>
      <c r="BC123" s="14" t="s">
        <v>33</v>
      </c>
      <c r="BD123">
        <f t="shared" si="21"/>
        <v>166</v>
      </c>
      <c r="BE123">
        <f t="shared" si="22"/>
        <v>32988</v>
      </c>
      <c r="BF123">
        <f t="shared" si="23"/>
        <v>198.72289156626505</v>
      </c>
      <c r="BG123" t="s">
        <v>41</v>
      </c>
    </row>
    <row r="124" spans="1:59" x14ac:dyDescent="0.2">
      <c r="A124" t="s">
        <v>20</v>
      </c>
      <c r="B124" t="s">
        <v>4</v>
      </c>
      <c r="C124" t="s">
        <v>30</v>
      </c>
      <c r="D124" t="s">
        <v>33</v>
      </c>
      <c r="E124" s="14" t="s">
        <v>33</v>
      </c>
      <c r="F124" t="s">
        <v>33</v>
      </c>
      <c r="G124" s="14" t="s">
        <v>33</v>
      </c>
      <c r="H124" t="s">
        <v>33</v>
      </c>
      <c r="I124" s="14" t="s">
        <v>33</v>
      </c>
      <c r="J124">
        <v>0</v>
      </c>
      <c r="K124" s="14">
        <f t="shared" si="14"/>
        <v>0</v>
      </c>
      <c r="L124">
        <v>2</v>
      </c>
      <c r="M124" s="14">
        <f t="shared" si="15"/>
        <v>384</v>
      </c>
      <c r="N124">
        <v>8</v>
      </c>
      <c r="O124" s="14">
        <f t="shared" si="16"/>
        <v>1584</v>
      </c>
      <c r="P124">
        <v>9</v>
      </c>
      <c r="Q124" s="14">
        <f t="shared" si="17"/>
        <v>1836</v>
      </c>
      <c r="R124">
        <v>20</v>
      </c>
      <c r="S124" s="14">
        <f t="shared" si="18"/>
        <v>4200</v>
      </c>
      <c r="T124">
        <v>10</v>
      </c>
      <c r="U124" s="14">
        <f t="shared" si="19"/>
        <v>2160</v>
      </c>
      <c r="V124">
        <v>7</v>
      </c>
      <c r="W124" s="14">
        <f t="shared" si="25"/>
        <v>1554</v>
      </c>
      <c r="X124">
        <v>8</v>
      </c>
      <c r="Y124" s="14">
        <f t="shared" si="27"/>
        <v>1824</v>
      </c>
      <c r="Z124">
        <v>6</v>
      </c>
      <c r="AA124" s="14">
        <f t="shared" si="20"/>
        <v>1404</v>
      </c>
      <c r="AB124">
        <v>3</v>
      </c>
      <c r="AC124" s="14">
        <f t="shared" si="30"/>
        <v>720</v>
      </c>
      <c r="AD124" t="s">
        <v>33</v>
      </c>
      <c r="AE124" s="14" t="s">
        <v>33</v>
      </c>
      <c r="AF124">
        <v>2</v>
      </c>
      <c r="AG124" s="14">
        <f t="shared" si="31"/>
        <v>504</v>
      </c>
      <c r="AH124">
        <v>3</v>
      </c>
      <c r="AI124" s="14">
        <f t="shared" si="32"/>
        <v>774</v>
      </c>
      <c r="AJ124" t="s">
        <v>33</v>
      </c>
      <c r="AK124" s="14" t="s">
        <v>33</v>
      </c>
      <c r="AL124" t="s">
        <v>33</v>
      </c>
      <c r="AM124" s="14" t="s">
        <v>33</v>
      </c>
      <c r="AN124" t="s">
        <v>33</v>
      </c>
      <c r="AO124" s="14" t="s">
        <v>33</v>
      </c>
      <c r="AP124" t="s">
        <v>33</v>
      </c>
      <c r="AQ124" s="14" t="s">
        <v>33</v>
      </c>
      <c r="AR124">
        <v>0</v>
      </c>
      <c r="AS124" s="14">
        <f>AR124*288</f>
        <v>0</v>
      </c>
      <c r="AT124" t="s">
        <v>33</v>
      </c>
      <c r="AU124" s="14" t="s">
        <v>33</v>
      </c>
      <c r="AV124" t="s">
        <v>33</v>
      </c>
      <c r="AW124" s="14" t="s">
        <v>33</v>
      </c>
      <c r="AX124" t="s">
        <v>33</v>
      </c>
      <c r="AY124" s="14" t="s">
        <v>33</v>
      </c>
      <c r="AZ124" t="s">
        <v>33</v>
      </c>
      <c r="BA124" s="14" t="s">
        <v>33</v>
      </c>
      <c r="BB124" t="s">
        <v>33</v>
      </c>
      <c r="BC124" s="14" t="s">
        <v>33</v>
      </c>
      <c r="BD124">
        <f t="shared" si="21"/>
        <v>78</v>
      </c>
      <c r="BE124">
        <f t="shared" si="22"/>
        <v>16944</v>
      </c>
      <c r="BF124">
        <f t="shared" si="23"/>
        <v>217.23076923076923</v>
      </c>
    </row>
    <row r="125" spans="1:59" x14ac:dyDescent="0.2">
      <c r="A125" t="s">
        <v>20</v>
      </c>
      <c r="B125" t="s">
        <v>5</v>
      </c>
      <c r="C125" t="s">
        <v>29</v>
      </c>
      <c r="D125" t="s">
        <v>33</v>
      </c>
      <c r="E125" s="14" t="s">
        <v>33</v>
      </c>
      <c r="F125" t="s">
        <v>33</v>
      </c>
      <c r="G125" s="14" t="s">
        <v>33</v>
      </c>
      <c r="H125" t="s">
        <v>33</v>
      </c>
      <c r="I125" s="14" t="s">
        <v>33</v>
      </c>
      <c r="J125" t="s">
        <v>33</v>
      </c>
      <c r="K125" s="14" t="s">
        <v>33</v>
      </c>
      <c r="L125">
        <v>1</v>
      </c>
      <c r="M125" s="14">
        <f t="shared" si="15"/>
        <v>192</v>
      </c>
      <c r="N125">
        <v>1</v>
      </c>
      <c r="O125" s="14">
        <f t="shared" si="16"/>
        <v>198</v>
      </c>
      <c r="P125">
        <v>2</v>
      </c>
      <c r="Q125" s="14">
        <f t="shared" si="17"/>
        <v>408</v>
      </c>
      <c r="R125">
        <v>7</v>
      </c>
      <c r="S125" s="14">
        <f t="shared" si="18"/>
        <v>1470</v>
      </c>
      <c r="T125">
        <v>10</v>
      </c>
      <c r="U125" s="14">
        <f t="shared" si="19"/>
        <v>2160</v>
      </c>
      <c r="V125" t="s">
        <v>33</v>
      </c>
      <c r="W125" s="14" t="s">
        <v>33</v>
      </c>
      <c r="X125">
        <v>11</v>
      </c>
      <c r="Y125" s="14">
        <f t="shared" si="27"/>
        <v>2508</v>
      </c>
      <c r="Z125">
        <v>5</v>
      </c>
      <c r="AA125" s="14">
        <f t="shared" si="20"/>
        <v>1170</v>
      </c>
      <c r="AB125">
        <v>8</v>
      </c>
      <c r="AC125" s="14">
        <f t="shared" si="30"/>
        <v>1920</v>
      </c>
      <c r="AD125">
        <v>1</v>
      </c>
      <c r="AE125" s="14">
        <f t="shared" si="29"/>
        <v>246</v>
      </c>
      <c r="AF125">
        <v>5</v>
      </c>
      <c r="AG125" s="14">
        <f t="shared" si="31"/>
        <v>1260</v>
      </c>
      <c r="AH125">
        <v>3</v>
      </c>
      <c r="AI125" s="14">
        <f t="shared" si="32"/>
        <v>774</v>
      </c>
      <c r="AJ125">
        <v>0</v>
      </c>
      <c r="AK125" s="14">
        <f>AJ125*264</f>
        <v>0</v>
      </c>
      <c r="AL125">
        <v>0</v>
      </c>
      <c r="AM125" s="14">
        <f>AL125*270</f>
        <v>0</v>
      </c>
      <c r="AN125">
        <v>1</v>
      </c>
      <c r="AO125" s="14">
        <f>AN125*276</f>
        <v>276</v>
      </c>
      <c r="AP125">
        <v>0</v>
      </c>
      <c r="AQ125" s="14">
        <f>AP125*282</f>
        <v>0</v>
      </c>
      <c r="AR125" t="s">
        <v>33</v>
      </c>
      <c r="AS125" s="14" t="s">
        <v>33</v>
      </c>
      <c r="AT125" t="s">
        <v>33</v>
      </c>
      <c r="AU125" s="14" t="s">
        <v>33</v>
      </c>
      <c r="AV125" t="s">
        <v>33</v>
      </c>
      <c r="AW125" s="14" t="s">
        <v>33</v>
      </c>
      <c r="AX125" t="s">
        <v>33</v>
      </c>
      <c r="AY125" s="14" t="s">
        <v>33</v>
      </c>
      <c r="AZ125" t="s">
        <v>33</v>
      </c>
      <c r="BA125" s="14" t="s">
        <v>33</v>
      </c>
      <c r="BB125" t="s">
        <v>33</v>
      </c>
      <c r="BC125" s="14" t="s">
        <v>33</v>
      </c>
      <c r="BD125">
        <f t="shared" si="21"/>
        <v>55</v>
      </c>
      <c r="BE125">
        <f t="shared" si="22"/>
        <v>12582</v>
      </c>
      <c r="BF125">
        <f t="shared" si="23"/>
        <v>228.76363636363635</v>
      </c>
      <c r="BG125" t="s">
        <v>36</v>
      </c>
    </row>
    <row r="126" spans="1:59" x14ac:dyDescent="0.2">
      <c r="A126" t="s">
        <v>20</v>
      </c>
      <c r="B126" t="s">
        <v>5</v>
      </c>
      <c r="C126" t="s">
        <v>30</v>
      </c>
      <c r="D126" t="s">
        <v>33</v>
      </c>
      <c r="E126" s="14" t="s">
        <v>33</v>
      </c>
      <c r="F126" t="s">
        <v>33</v>
      </c>
      <c r="G126" s="14" t="s">
        <v>33</v>
      </c>
      <c r="H126" t="s">
        <v>33</v>
      </c>
      <c r="I126" s="14" t="s">
        <v>33</v>
      </c>
      <c r="J126" t="s">
        <v>33</v>
      </c>
      <c r="K126" s="14" t="s">
        <v>33</v>
      </c>
      <c r="L126">
        <v>4</v>
      </c>
      <c r="M126" s="14">
        <f t="shared" si="15"/>
        <v>768</v>
      </c>
      <c r="N126">
        <v>0</v>
      </c>
      <c r="O126" s="14">
        <f t="shared" si="16"/>
        <v>0</v>
      </c>
      <c r="P126">
        <v>4</v>
      </c>
      <c r="Q126" s="14">
        <f t="shared" si="17"/>
        <v>816</v>
      </c>
      <c r="R126">
        <v>8</v>
      </c>
      <c r="S126" s="14">
        <f t="shared" si="18"/>
        <v>1680</v>
      </c>
      <c r="T126">
        <v>4</v>
      </c>
      <c r="U126" s="14">
        <f t="shared" si="19"/>
        <v>864</v>
      </c>
      <c r="V126" t="s">
        <v>33</v>
      </c>
      <c r="W126" s="14" t="s">
        <v>33</v>
      </c>
      <c r="X126">
        <v>5</v>
      </c>
      <c r="Y126" s="14">
        <f t="shared" si="27"/>
        <v>1140</v>
      </c>
      <c r="Z126">
        <v>11</v>
      </c>
      <c r="AA126" s="14">
        <f t="shared" si="20"/>
        <v>2574</v>
      </c>
      <c r="AB126">
        <v>4</v>
      </c>
      <c r="AC126" s="14">
        <f t="shared" si="30"/>
        <v>960</v>
      </c>
      <c r="AD126">
        <v>3</v>
      </c>
      <c r="AE126" s="14">
        <f t="shared" si="29"/>
        <v>738</v>
      </c>
      <c r="AF126">
        <v>4</v>
      </c>
      <c r="AG126" s="14">
        <f t="shared" si="31"/>
        <v>1008</v>
      </c>
      <c r="AH126">
        <v>6</v>
      </c>
      <c r="AI126" s="14">
        <f t="shared" si="32"/>
        <v>1548</v>
      </c>
      <c r="AJ126">
        <v>1</v>
      </c>
      <c r="AK126" s="14">
        <f>AJ126*264</f>
        <v>264</v>
      </c>
      <c r="AL126">
        <v>4</v>
      </c>
      <c r="AM126" s="14">
        <f>AL126*270</f>
        <v>1080</v>
      </c>
      <c r="AN126">
        <v>0</v>
      </c>
      <c r="AO126" s="14">
        <f>AN126*276</f>
        <v>0</v>
      </c>
      <c r="AP126">
        <v>2</v>
      </c>
      <c r="AQ126" s="14">
        <f>AP126*282</f>
        <v>564</v>
      </c>
      <c r="AR126" t="s">
        <v>33</v>
      </c>
      <c r="AS126" s="14" t="s">
        <v>33</v>
      </c>
      <c r="AT126" t="s">
        <v>33</v>
      </c>
      <c r="AU126" s="14" t="s">
        <v>33</v>
      </c>
      <c r="AV126" t="s">
        <v>33</v>
      </c>
      <c r="AW126" s="14" t="s">
        <v>33</v>
      </c>
      <c r="AX126" t="s">
        <v>33</v>
      </c>
      <c r="AY126" s="14" t="s">
        <v>33</v>
      </c>
      <c r="AZ126" t="s">
        <v>33</v>
      </c>
      <c r="BA126" s="14" t="s">
        <v>33</v>
      </c>
      <c r="BB126" t="s">
        <v>33</v>
      </c>
      <c r="BC126" s="14" t="s">
        <v>33</v>
      </c>
      <c r="BD126">
        <f t="shared" si="21"/>
        <v>60</v>
      </c>
      <c r="BE126">
        <f t="shared" si="22"/>
        <v>14004</v>
      </c>
      <c r="BF126">
        <f t="shared" si="23"/>
        <v>233.4</v>
      </c>
    </row>
    <row r="127" spans="1:59" x14ac:dyDescent="0.2">
      <c r="A127" t="s">
        <v>20</v>
      </c>
      <c r="B127" t="s">
        <v>6</v>
      </c>
      <c r="C127" t="s">
        <v>29</v>
      </c>
      <c r="D127" t="s">
        <v>33</v>
      </c>
      <c r="E127" s="14" t="s">
        <v>33</v>
      </c>
      <c r="F127" t="s">
        <v>33</v>
      </c>
      <c r="G127" s="14" t="s">
        <v>33</v>
      </c>
      <c r="H127" t="s">
        <v>33</v>
      </c>
      <c r="I127" s="14" t="s">
        <v>33</v>
      </c>
      <c r="J127">
        <v>0</v>
      </c>
      <c r="K127" s="14">
        <f t="shared" si="14"/>
        <v>0</v>
      </c>
      <c r="L127">
        <v>1</v>
      </c>
      <c r="M127" s="14">
        <f t="shared" si="15"/>
        <v>192</v>
      </c>
      <c r="N127">
        <v>3</v>
      </c>
      <c r="O127" s="14">
        <f t="shared" si="16"/>
        <v>594</v>
      </c>
      <c r="P127">
        <v>4</v>
      </c>
      <c r="Q127" s="14">
        <f t="shared" si="17"/>
        <v>816</v>
      </c>
      <c r="R127">
        <v>9</v>
      </c>
      <c r="S127" s="14">
        <f t="shared" si="18"/>
        <v>1890</v>
      </c>
      <c r="T127">
        <v>10</v>
      </c>
      <c r="U127" s="14">
        <f t="shared" si="19"/>
        <v>2160</v>
      </c>
      <c r="V127">
        <v>7</v>
      </c>
      <c r="W127" s="14">
        <f t="shared" si="25"/>
        <v>1554</v>
      </c>
      <c r="X127">
        <v>9</v>
      </c>
      <c r="Y127" s="14">
        <f t="shared" si="27"/>
        <v>2052</v>
      </c>
      <c r="Z127">
        <v>8</v>
      </c>
      <c r="AA127" s="14">
        <f t="shared" si="20"/>
        <v>1872</v>
      </c>
      <c r="AB127">
        <v>6</v>
      </c>
      <c r="AC127" s="14">
        <f t="shared" si="30"/>
        <v>1440</v>
      </c>
      <c r="AD127">
        <v>1</v>
      </c>
      <c r="AE127" s="14">
        <f t="shared" si="29"/>
        <v>246</v>
      </c>
      <c r="AF127">
        <v>3</v>
      </c>
      <c r="AG127" s="14">
        <f t="shared" si="31"/>
        <v>756</v>
      </c>
      <c r="AH127">
        <v>8</v>
      </c>
      <c r="AI127" s="14">
        <f t="shared" si="32"/>
        <v>2064</v>
      </c>
      <c r="AJ127">
        <v>2</v>
      </c>
      <c r="AK127" s="14">
        <f>AJ127*264</f>
        <v>528</v>
      </c>
      <c r="AL127" t="s">
        <v>33</v>
      </c>
      <c r="AM127" s="14" t="s">
        <v>33</v>
      </c>
      <c r="AN127">
        <v>0</v>
      </c>
      <c r="AO127" s="14">
        <f>AN127*276</f>
        <v>0</v>
      </c>
      <c r="AP127" t="s">
        <v>33</v>
      </c>
      <c r="AQ127" s="14" t="s">
        <v>33</v>
      </c>
      <c r="AR127" t="s">
        <v>33</v>
      </c>
      <c r="AS127" s="14" t="s">
        <v>33</v>
      </c>
      <c r="AT127" t="s">
        <v>33</v>
      </c>
      <c r="AU127" s="14" t="s">
        <v>33</v>
      </c>
      <c r="AV127" t="s">
        <v>33</v>
      </c>
      <c r="AW127" s="14" t="s">
        <v>33</v>
      </c>
      <c r="AX127" t="s">
        <v>33</v>
      </c>
      <c r="AY127" s="14" t="s">
        <v>33</v>
      </c>
      <c r="AZ127" t="s">
        <v>33</v>
      </c>
      <c r="BA127" s="14" t="s">
        <v>33</v>
      </c>
      <c r="BB127" t="s">
        <v>33</v>
      </c>
      <c r="BC127" s="14" t="s">
        <v>33</v>
      </c>
      <c r="BD127">
        <f t="shared" si="21"/>
        <v>71</v>
      </c>
      <c r="BE127">
        <f t="shared" si="22"/>
        <v>16164</v>
      </c>
      <c r="BF127">
        <f t="shared" si="23"/>
        <v>227.66197183098592</v>
      </c>
    </row>
    <row r="128" spans="1:59" x14ac:dyDescent="0.2">
      <c r="A128" t="s">
        <v>20</v>
      </c>
      <c r="B128" t="s">
        <v>6</v>
      </c>
      <c r="C128" t="s">
        <v>30</v>
      </c>
      <c r="D128" t="s">
        <v>33</v>
      </c>
      <c r="E128" s="14" t="s">
        <v>33</v>
      </c>
      <c r="F128" t="s">
        <v>33</v>
      </c>
      <c r="G128" s="14" t="s">
        <v>33</v>
      </c>
      <c r="H128" t="s">
        <v>33</v>
      </c>
      <c r="I128" s="14" t="s">
        <v>33</v>
      </c>
      <c r="J128">
        <v>2</v>
      </c>
      <c r="K128" s="14">
        <f t="shared" si="14"/>
        <v>372</v>
      </c>
      <c r="L128">
        <v>3</v>
      </c>
      <c r="M128" s="14">
        <f t="shared" si="15"/>
        <v>576</v>
      </c>
      <c r="N128">
        <v>7</v>
      </c>
      <c r="O128" s="14">
        <f t="shared" si="16"/>
        <v>1386</v>
      </c>
      <c r="P128">
        <v>3</v>
      </c>
      <c r="Q128" s="14">
        <f t="shared" si="17"/>
        <v>612</v>
      </c>
      <c r="R128">
        <v>13</v>
      </c>
      <c r="S128" s="14">
        <f t="shared" si="18"/>
        <v>2730</v>
      </c>
      <c r="T128">
        <v>12</v>
      </c>
      <c r="U128" s="14">
        <f t="shared" si="19"/>
        <v>2592</v>
      </c>
      <c r="V128">
        <v>12</v>
      </c>
      <c r="W128" s="14">
        <f t="shared" si="25"/>
        <v>2664</v>
      </c>
      <c r="X128">
        <v>8</v>
      </c>
      <c r="Y128" s="14">
        <f t="shared" si="27"/>
        <v>1824</v>
      </c>
      <c r="Z128">
        <v>11</v>
      </c>
      <c r="AA128" s="14">
        <f t="shared" si="20"/>
        <v>2574</v>
      </c>
      <c r="AB128">
        <v>4</v>
      </c>
      <c r="AC128" s="14">
        <f t="shared" si="30"/>
        <v>960</v>
      </c>
      <c r="AD128">
        <v>2</v>
      </c>
      <c r="AE128" s="14">
        <f t="shared" si="29"/>
        <v>492</v>
      </c>
      <c r="AF128">
        <v>3</v>
      </c>
      <c r="AG128" s="14">
        <f t="shared" si="31"/>
        <v>756</v>
      </c>
      <c r="AH128">
        <v>4</v>
      </c>
      <c r="AI128" s="14">
        <f t="shared" si="32"/>
        <v>1032</v>
      </c>
      <c r="AJ128">
        <v>0</v>
      </c>
      <c r="AK128" s="14">
        <f>AJ128*264</f>
        <v>0</v>
      </c>
      <c r="AL128" t="s">
        <v>33</v>
      </c>
      <c r="AM128" s="14" t="s">
        <v>33</v>
      </c>
      <c r="AN128">
        <v>1</v>
      </c>
      <c r="AO128" s="14">
        <f>AN128*276</f>
        <v>276</v>
      </c>
      <c r="AP128" t="s">
        <v>33</v>
      </c>
      <c r="AQ128" s="14" t="s">
        <v>33</v>
      </c>
      <c r="AR128" t="s">
        <v>33</v>
      </c>
      <c r="AS128" s="14" t="s">
        <v>33</v>
      </c>
      <c r="AT128" t="s">
        <v>33</v>
      </c>
      <c r="AU128" s="14" t="s">
        <v>33</v>
      </c>
      <c r="AV128" t="s">
        <v>33</v>
      </c>
      <c r="AW128" s="14" t="s">
        <v>33</v>
      </c>
      <c r="AX128" t="s">
        <v>33</v>
      </c>
      <c r="AY128" s="14" t="s">
        <v>33</v>
      </c>
      <c r="AZ128" t="s">
        <v>33</v>
      </c>
      <c r="BA128" s="14" t="s">
        <v>33</v>
      </c>
      <c r="BB128" t="s">
        <v>33</v>
      </c>
      <c r="BC128" s="14" t="s">
        <v>33</v>
      </c>
      <c r="BD128">
        <f t="shared" si="21"/>
        <v>85</v>
      </c>
      <c r="BE128">
        <f t="shared" si="22"/>
        <v>18846</v>
      </c>
      <c r="BF128">
        <f t="shared" si="23"/>
        <v>221.71764705882353</v>
      </c>
      <c r="BG128" t="s">
        <v>51</v>
      </c>
    </row>
    <row r="129" spans="1:59" x14ac:dyDescent="0.2">
      <c r="A129" t="s">
        <v>20</v>
      </c>
      <c r="B129" t="s">
        <v>7</v>
      </c>
      <c r="C129" t="s">
        <v>29</v>
      </c>
      <c r="D129" t="s">
        <v>33</v>
      </c>
      <c r="E129" s="14" t="s">
        <v>33</v>
      </c>
      <c r="F129" t="s">
        <v>33</v>
      </c>
      <c r="G129" s="14" t="s">
        <v>33</v>
      </c>
      <c r="H129" t="s">
        <v>33</v>
      </c>
      <c r="I129" s="14" t="s">
        <v>33</v>
      </c>
      <c r="J129" t="s">
        <v>33</v>
      </c>
      <c r="K129" s="14" t="s">
        <v>33</v>
      </c>
      <c r="L129">
        <v>3</v>
      </c>
      <c r="M129" s="14">
        <f t="shared" si="15"/>
        <v>576</v>
      </c>
      <c r="N129">
        <v>7</v>
      </c>
      <c r="O129" s="14">
        <f t="shared" si="16"/>
        <v>1386</v>
      </c>
      <c r="P129">
        <v>7</v>
      </c>
      <c r="Q129" s="14">
        <f t="shared" si="17"/>
        <v>1428</v>
      </c>
      <c r="R129">
        <v>18</v>
      </c>
      <c r="S129" s="14">
        <f t="shared" si="18"/>
        <v>3780</v>
      </c>
      <c r="T129">
        <v>8</v>
      </c>
      <c r="U129" s="14">
        <f t="shared" si="19"/>
        <v>1728</v>
      </c>
      <c r="V129">
        <v>13</v>
      </c>
      <c r="W129" s="14">
        <f t="shared" si="25"/>
        <v>2886</v>
      </c>
      <c r="X129">
        <v>8</v>
      </c>
      <c r="Y129" s="14">
        <f t="shared" si="27"/>
        <v>1824</v>
      </c>
      <c r="Z129">
        <v>4</v>
      </c>
      <c r="AA129" s="14">
        <f t="shared" si="20"/>
        <v>936</v>
      </c>
      <c r="AB129" t="s">
        <v>33</v>
      </c>
      <c r="AC129" s="14" t="s">
        <v>33</v>
      </c>
      <c r="AD129" t="s">
        <v>33</v>
      </c>
      <c r="AE129" s="14" t="s">
        <v>33</v>
      </c>
      <c r="AF129">
        <v>0</v>
      </c>
      <c r="AG129" s="14">
        <f t="shared" si="31"/>
        <v>0</v>
      </c>
      <c r="AH129" t="s">
        <v>33</v>
      </c>
      <c r="AI129" s="14" t="s">
        <v>33</v>
      </c>
      <c r="AJ129" t="s">
        <v>33</v>
      </c>
      <c r="AK129" s="14" t="s">
        <v>33</v>
      </c>
      <c r="AL129" t="s">
        <v>33</v>
      </c>
      <c r="AM129" s="14" t="s">
        <v>33</v>
      </c>
      <c r="AN129" t="s">
        <v>33</v>
      </c>
      <c r="AO129" s="14" t="s">
        <v>33</v>
      </c>
      <c r="AP129" t="s">
        <v>33</v>
      </c>
      <c r="AQ129" s="14" t="s">
        <v>33</v>
      </c>
      <c r="AR129" t="s">
        <v>33</v>
      </c>
      <c r="AS129" s="14" t="s">
        <v>33</v>
      </c>
      <c r="AT129" t="s">
        <v>33</v>
      </c>
      <c r="AU129" s="14" t="s">
        <v>33</v>
      </c>
      <c r="AV129" t="s">
        <v>33</v>
      </c>
      <c r="AW129" s="14" t="s">
        <v>33</v>
      </c>
      <c r="AX129" t="s">
        <v>33</v>
      </c>
      <c r="AY129" s="14" t="s">
        <v>33</v>
      </c>
      <c r="AZ129" t="s">
        <v>33</v>
      </c>
      <c r="BA129" s="14" t="s">
        <v>33</v>
      </c>
      <c r="BB129" t="s">
        <v>33</v>
      </c>
      <c r="BC129" s="14" t="s">
        <v>33</v>
      </c>
      <c r="BD129">
        <f t="shared" si="21"/>
        <v>68</v>
      </c>
      <c r="BE129">
        <f t="shared" si="22"/>
        <v>14544</v>
      </c>
      <c r="BF129">
        <f t="shared" si="23"/>
        <v>213.88235294117646</v>
      </c>
    </row>
    <row r="130" spans="1:59" x14ac:dyDescent="0.2">
      <c r="A130" t="s">
        <v>20</v>
      </c>
      <c r="B130" t="s">
        <v>7</v>
      </c>
      <c r="C130" t="s">
        <v>30</v>
      </c>
      <c r="D130" t="s">
        <v>33</v>
      </c>
      <c r="E130" s="14" t="s">
        <v>33</v>
      </c>
      <c r="F130" t="s">
        <v>33</v>
      </c>
      <c r="G130" s="14" t="s">
        <v>33</v>
      </c>
      <c r="H130" t="s">
        <v>33</v>
      </c>
      <c r="I130" s="14" t="s">
        <v>33</v>
      </c>
      <c r="J130" t="s">
        <v>33</v>
      </c>
      <c r="K130" s="14" t="s">
        <v>33</v>
      </c>
      <c r="L130">
        <v>8</v>
      </c>
      <c r="M130" s="14">
        <f t="shared" si="15"/>
        <v>1536</v>
      </c>
      <c r="N130">
        <v>8</v>
      </c>
      <c r="O130" s="14">
        <f t="shared" si="16"/>
        <v>1584</v>
      </c>
      <c r="P130">
        <v>8</v>
      </c>
      <c r="Q130" s="14">
        <f t="shared" si="17"/>
        <v>1632</v>
      </c>
      <c r="R130">
        <v>17</v>
      </c>
      <c r="S130" s="14">
        <f t="shared" si="18"/>
        <v>3570</v>
      </c>
      <c r="T130">
        <v>7</v>
      </c>
      <c r="U130" s="14">
        <f t="shared" si="19"/>
        <v>1512</v>
      </c>
      <c r="V130">
        <v>1</v>
      </c>
      <c r="W130" s="14">
        <f t="shared" si="25"/>
        <v>222</v>
      </c>
      <c r="X130">
        <v>1</v>
      </c>
      <c r="Y130" s="14">
        <f t="shared" si="27"/>
        <v>228</v>
      </c>
      <c r="Z130">
        <v>0</v>
      </c>
      <c r="AA130" s="14">
        <f t="shared" si="20"/>
        <v>0</v>
      </c>
      <c r="AB130" t="s">
        <v>33</v>
      </c>
      <c r="AC130" s="14" t="s">
        <v>33</v>
      </c>
      <c r="AD130" t="s">
        <v>33</v>
      </c>
      <c r="AE130" s="14" t="s">
        <v>33</v>
      </c>
      <c r="AF130">
        <v>1</v>
      </c>
      <c r="AG130" s="14">
        <f t="shared" si="31"/>
        <v>252</v>
      </c>
      <c r="AH130" t="s">
        <v>33</v>
      </c>
      <c r="AI130" s="14" t="s">
        <v>33</v>
      </c>
      <c r="AJ130" t="s">
        <v>33</v>
      </c>
      <c r="AK130" s="14" t="s">
        <v>33</v>
      </c>
      <c r="AL130" t="s">
        <v>33</v>
      </c>
      <c r="AM130" s="14" t="s">
        <v>33</v>
      </c>
      <c r="AN130" t="s">
        <v>33</v>
      </c>
      <c r="AO130" s="14" t="s">
        <v>33</v>
      </c>
      <c r="AP130" t="s">
        <v>33</v>
      </c>
      <c r="AQ130" s="14" t="s">
        <v>33</v>
      </c>
      <c r="AR130" t="s">
        <v>33</v>
      </c>
      <c r="AS130" s="14" t="s">
        <v>33</v>
      </c>
      <c r="AT130" t="s">
        <v>33</v>
      </c>
      <c r="AU130" s="14" t="s">
        <v>33</v>
      </c>
      <c r="AV130" t="s">
        <v>33</v>
      </c>
      <c r="AW130" s="14" t="s">
        <v>33</v>
      </c>
      <c r="AX130" t="s">
        <v>33</v>
      </c>
      <c r="AY130" s="14" t="s">
        <v>33</v>
      </c>
      <c r="AZ130" t="s">
        <v>33</v>
      </c>
      <c r="BA130" s="14" t="s">
        <v>33</v>
      </c>
      <c r="BB130" t="s">
        <v>33</v>
      </c>
      <c r="BC130" s="14" t="s">
        <v>33</v>
      </c>
      <c r="BD130">
        <f t="shared" si="21"/>
        <v>51</v>
      </c>
      <c r="BE130">
        <f t="shared" si="22"/>
        <v>10536</v>
      </c>
      <c r="BF130">
        <f t="shared" si="23"/>
        <v>206.58823529411765</v>
      </c>
    </row>
    <row r="131" spans="1:59" x14ac:dyDescent="0.2">
      <c r="A131" t="s">
        <v>20</v>
      </c>
      <c r="B131" t="s">
        <v>8</v>
      </c>
      <c r="C131" t="s">
        <v>29</v>
      </c>
      <c r="D131" t="s">
        <v>33</v>
      </c>
      <c r="E131" s="14" t="s">
        <v>33</v>
      </c>
      <c r="F131" t="s">
        <v>33</v>
      </c>
      <c r="G131" s="14" t="s">
        <v>33</v>
      </c>
      <c r="H131" t="s">
        <v>33</v>
      </c>
      <c r="I131" s="14" t="s">
        <v>33</v>
      </c>
      <c r="J131">
        <v>1</v>
      </c>
      <c r="K131" s="14">
        <f t="shared" si="14"/>
        <v>186</v>
      </c>
      <c r="L131">
        <v>2</v>
      </c>
      <c r="M131" s="14">
        <f t="shared" si="15"/>
        <v>384</v>
      </c>
      <c r="N131">
        <v>5</v>
      </c>
      <c r="O131" s="14">
        <f t="shared" si="16"/>
        <v>990</v>
      </c>
      <c r="P131">
        <v>11</v>
      </c>
      <c r="Q131" s="14">
        <f t="shared" si="17"/>
        <v>2244</v>
      </c>
      <c r="R131">
        <v>21</v>
      </c>
      <c r="S131" s="14">
        <f t="shared" si="18"/>
        <v>4410</v>
      </c>
      <c r="T131">
        <v>10</v>
      </c>
      <c r="U131" s="14">
        <f t="shared" si="19"/>
        <v>2160</v>
      </c>
      <c r="V131">
        <v>15</v>
      </c>
      <c r="W131" s="14">
        <f t="shared" si="25"/>
        <v>3330</v>
      </c>
      <c r="X131">
        <v>5</v>
      </c>
      <c r="Y131" s="14">
        <f t="shared" si="27"/>
        <v>1140</v>
      </c>
      <c r="Z131">
        <v>4</v>
      </c>
      <c r="AA131" s="14">
        <f t="shared" si="20"/>
        <v>936</v>
      </c>
      <c r="AB131">
        <v>5</v>
      </c>
      <c r="AC131" s="14">
        <f>AB131*240</f>
        <v>1200</v>
      </c>
      <c r="AD131">
        <v>3</v>
      </c>
      <c r="AE131" s="14">
        <f t="shared" si="29"/>
        <v>738</v>
      </c>
      <c r="AF131">
        <v>2</v>
      </c>
      <c r="AG131" s="14">
        <f t="shared" si="31"/>
        <v>504</v>
      </c>
      <c r="AH131">
        <v>1</v>
      </c>
      <c r="AI131" s="14">
        <f>AH131*258</f>
        <v>258</v>
      </c>
      <c r="AJ131">
        <v>2</v>
      </c>
      <c r="AK131" s="14">
        <f>AJ131*264</f>
        <v>528</v>
      </c>
      <c r="AL131">
        <v>0</v>
      </c>
      <c r="AM131" s="14">
        <f>AL131*270</f>
        <v>0</v>
      </c>
      <c r="AN131" t="s">
        <v>33</v>
      </c>
      <c r="AO131" s="14" t="s">
        <v>33</v>
      </c>
      <c r="AP131" t="s">
        <v>33</v>
      </c>
      <c r="AQ131" s="14" t="s">
        <v>33</v>
      </c>
      <c r="AR131">
        <v>0</v>
      </c>
      <c r="AS131" s="14">
        <f>AR131*288</f>
        <v>0</v>
      </c>
      <c r="AT131">
        <v>0</v>
      </c>
      <c r="AU131" s="14">
        <f>AT131*294</f>
        <v>0</v>
      </c>
      <c r="AV131" t="s">
        <v>33</v>
      </c>
      <c r="AW131" s="14" t="s">
        <v>33</v>
      </c>
      <c r="AX131" t="s">
        <v>33</v>
      </c>
      <c r="AY131" s="14" t="s">
        <v>33</v>
      </c>
      <c r="AZ131" t="s">
        <v>33</v>
      </c>
      <c r="BA131" s="14" t="s">
        <v>33</v>
      </c>
      <c r="BB131" t="s">
        <v>33</v>
      </c>
      <c r="BC131" s="14" t="s">
        <v>33</v>
      </c>
      <c r="BD131">
        <f t="shared" si="21"/>
        <v>87</v>
      </c>
      <c r="BE131">
        <f t="shared" si="22"/>
        <v>19008</v>
      </c>
      <c r="BF131">
        <f t="shared" si="23"/>
        <v>218.48275862068965</v>
      </c>
    </row>
    <row r="132" spans="1:59" x14ac:dyDescent="0.2">
      <c r="A132" t="s">
        <v>20</v>
      </c>
      <c r="B132" t="s">
        <v>8</v>
      </c>
      <c r="C132" t="s">
        <v>30</v>
      </c>
      <c r="D132" t="s">
        <v>33</v>
      </c>
      <c r="E132" s="14" t="s">
        <v>33</v>
      </c>
      <c r="F132" t="s">
        <v>33</v>
      </c>
      <c r="G132" s="14" t="s">
        <v>33</v>
      </c>
      <c r="H132" t="s">
        <v>33</v>
      </c>
      <c r="I132" s="14" t="s">
        <v>33</v>
      </c>
      <c r="J132">
        <v>2</v>
      </c>
      <c r="K132" s="14">
        <f t="shared" ref="K132:K195" si="33">J132*186</f>
        <v>372</v>
      </c>
      <c r="L132">
        <v>7</v>
      </c>
      <c r="M132" s="14">
        <f t="shared" ref="M132:M195" si="34">L132*192</f>
        <v>1344</v>
      </c>
      <c r="N132">
        <v>2</v>
      </c>
      <c r="O132" s="14">
        <f t="shared" ref="O132:O195" si="35">N132*198</f>
        <v>396</v>
      </c>
      <c r="P132">
        <v>6</v>
      </c>
      <c r="Q132" s="14">
        <f t="shared" ref="Q132:Q195" si="36">P132*204</f>
        <v>1224</v>
      </c>
      <c r="R132">
        <v>11</v>
      </c>
      <c r="S132" s="14">
        <f t="shared" ref="S132:S195" si="37">R132*210</f>
        <v>2310</v>
      </c>
      <c r="T132">
        <v>5</v>
      </c>
      <c r="U132" s="14">
        <f t="shared" ref="U132:U195" si="38">T132*216</f>
        <v>1080</v>
      </c>
      <c r="V132">
        <v>9</v>
      </c>
      <c r="W132" s="14">
        <f t="shared" ref="W132:W192" si="39">V132*222</f>
        <v>1998</v>
      </c>
      <c r="X132">
        <v>7</v>
      </c>
      <c r="Y132" s="14">
        <f t="shared" ref="Y132:Y190" si="40">X132*228</f>
        <v>1596</v>
      </c>
      <c r="Z132">
        <v>3</v>
      </c>
      <c r="AA132" s="14">
        <f>Z132*234</f>
        <v>702</v>
      </c>
      <c r="AB132">
        <v>2</v>
      </c>
      <c r="AC132" s="14">
        <f>AB132*240</f>
        <v>480</v>
      </c>
      <c r="AD132">
        <v>2</v>
      </c>
      <c r="AE132" s="14">
        <f>AD132*246</f>
        <v>492</v>
      </c>
      <c r="AF132">
        <v>1</v>
      </c>
      <c r="AG132" s="14">
        <f t="shared" si="31"/>
        <v>252</v>
      </c>
      <c r="AH132">
        <v>0</v>
      </c>
      <c r="AI132" s="14">
        <f>AH132*258</f>
        <v>0</v>
      </c>
      <c r="AJ132">
        <v>0</v>
      </c>
      <c r="AK132" s="14">
        <f>AJ132*264</f>
        <v>0</v>
      </c>
      <c r="AL132">
        <v>1</v>
      </c>
      <c r="AM132" s="14">
        <f>AL132*270</f>
        <v>270</v>
      </c>
      <c r="AN132" t="s">
        <v>33</v>
      </c>
      <c r="AO132" s="14" t="s">
        <v>33</v>
      </c>
      <c r="AP132" t="s">
        <v>33</v>
      </c>
      <c r="AQ132" s="14" t="s">
        <v>33</v>
      </c>
      <c r="AR132">
        <v>1</v>
      </c>
      <c r="AS132" s="14">
        <f>AR132*288</f>
        <v>288</v>
      </c>
      <c r="AT132">
        <v>1</v>
      </c>
      <c r="AU132" s="14">
        <f>AT132*294</f>
        <v>294</v>
      </c>
      <c r="AV132" t="s">
        <v>33</v>
      </c>
      <c r="AW132" s="14" t="s">
        <v>33</v>
      </c>
      <c r="AX132" t="s">
        <v>33</v>
      </c>
      <c r="AY132" s="14" t="s">
        <v>33</v>
      </c>
      <c r="AZ132" t="s">
        <v>33</v>
      </c>
      <c r="BA132" s="14" t="s">
        <v>33</v>
      </c>
      <c r="BB132" t="s">
        <v>33</v>
      </c>
      <c r="BC132" s="14" t="s">
        <v>33</v>
      </c>
      <c r="BD132">
        <f t="shared" ref="BD132:BD195" si="41">SUM(D132,F132,H132,J132,L132,N132,P132,R132,T132,V132,X132,Z132,AB132,AD132,AF132,AH132,AJ132,AL132,AN132,AP132,AR132,AT132,AV132,AX132,AZ132,BB132)</f>
        <v>60</v>
      </c>
      <c r="BE132">
        <f t="shared" ref="BE132:BE195" si="42">SUM(E132,G132,I132,K132,M132,O132,Q132,S132,U132,W132,Y132,AA132,AC132,AE132,AG132,AI132,AK132,AM132,AO132,AQ132,AS132,AU132,AW132,AY132,BA132,BC132)</f>
        <v>13098</v>
      </c>
      <c r="BF132">
        <f t="shared" ref="BF132:BF195" si="43">BE132/BD132</f>
        <v>218.3</v>
      </c>
    </row>
    <row r="133" spans="1:59" x14ac:dyDescent="0.2">
      <c r="A133" t="s">
        <v>21</v>
      </c>
      <c r="B133" t="s">
        <v>4</v>
      </c>
      <c r="C133" t="s">
        <v>29</v>
      </c>
      <c r="D133" t="s">
        <v>33</v>
      </c>
      <c r="E133" s="14" t="s">
        <v>33</v>
      </c>
      <c r="F133" t="s">
        <v>33</v>
      </c>
      <c r="G133" s="14" t="s">
        <v>33</v>
      </c>
      <c r="H133">
        <v>0</v>
      </c>
      <c r="I133" s="14">
        <f t="shared" ref="I133:I142" si="44">H133*180</f>
        <v>0</v>
      </c>
      <c r="J133">
        <v>2</v>
      </c>
      <c r="K133" s="14">
        <f t="shared" si="33"/>
        <v>372</v>
      </c>
      <c r="L133">
        <v>27</v>
      </c>
      <c r="M133" s="14">
        <f t="shared" si="34"/>
        <v>5184</v>
      </c>
      <c r="N133">
        <v>9</v>
      </c>
      <c r="O133" s="14">
        <f t="shared" si="35"/>
        <v>1782</v>
      </c>
      <c r="P133">
        <v>5</v>
      </c>
      <c r="Q133" s="14">
        <f t="shared" si="36"/>
        <v>1020</v>
      </c>
      <c r="R133">
        <v>1</v>
      </c>
      <c r="S133" s="14">
        <f t="shared" si="37"/>
        <v>210</v>
      </c>
      <c r="T133">
        <v>1</v>
      </c>
      <c r="U133" s="14">
        <f t="shared" si="38"/>
        <v>216</v>
      </c>
      <c r="V133" t="s">
        <v>33</v>
      </c>
      <c r="W133" s="14" t="s">
        <v>33</v>
      </c>
      <c r="X133" t="s">
        <v>33</v>
      </c>
      <c r="Y133" s="14" t="s">
        <v>33</v>
      </c>
      <c r="Z133">
        <v>1</v>
      </c>
      <c r="AA133" s="14">
        <f>Z133*234</f>
        <v>234</v>
      </c>
      <c r="AB133" t="s">
        <v>33</v>
      </c>
      <c r="AC133" s="14" t="s">
        <v>33</v>
      </c>
      <c r="AD133" t="s">
        <v>33</v>
      </c>
      <c r="AE133" s="14" t="s">
        <v>33</v>
      </c>
      <c r="AF133" t="s">
        <v>33</v>
      </c>
      <c r="AG133" s="14" t="s">
        <v>33</v>
      </c>
      <c r="AH133" t="s">
        <v>33</v>
      </c>
      <c r="AI133" s="14" t="s">
        <v>33</v>
      </c>
      <c r="AJ133" t="s">
        <v>33</v>
      </c>
      <c r="AK133" s="14" t="s">
        <v>33</v>
      </c>
      <c r="AL133" t="s">
        <v>33</v>
      </c>
      <c r="AM133" s="14" t="s">
        <v>33</v>
      </c>
      <c r="AN133" t="s">
        <v>33</v>
      </c>
      <c r="AO133" s="14" t="s">
        <v>33</v>
      </c>
      <c r="AP133" t="s">
        <v>33</v>
      </c>
      <c r="AQ133" s="14" t="s">
        <v>33</v>
      </c>
      <c r="AR133" t="s">
        <v>33</v>
      </c>
      <c r="AS133" s="14" t="s">
        <v>33</v>
      </c>
      <c r="AT133" t="s">
        <v>33</v>
      </c>
      <c r="AU133" s="14" t="s">
        <v>33</v>
      </c>
      <c r="AV133" t="s">
        <v>33</v>
      </c>
      <c r="AW133" s="14" t="s">
        <v>33</v>
      </c>
      <c r="AX133" t="s">
        <v>33</v>
      </c>
      <c r="AY133" s="14" t="s">
        <v>33</v>
      </c>
      <c r="AZ133" t="s">
        <v>33</v>
      </c>
      <c r="BA133" s="14" t="s">
        <v>33</v>
      </c>
      <c r="BB133" t="s">
        <v>33</v>
      </c>
      <c r="BC133" s="14" t="s">
        <v>33</v>
      </c>
      <c r="BD133">
        <f t="shared" si="41"/>
        <v>46</v>
      </c>
      <c r="BE133">
        <f t="shared" si="42"/>
        <v>9018</v>
      </c>
      <c r="BF133">
        <f t="shared" si="43"/>
        <v>196.04347826086956</v>
      </c>
      <c r="BG133" t="s">
        <v>43</v>
      </c>
    </row>
    <row r="134" spans="1:59" x14ac:dyDescent="0.2">
      <c r="A134" t="s">
        <v>21</v>
      </c>
      <c r="B134" t="s">
        <v>4</v>
      </c>
      <c r="C134" t="s">
        <v>30</v>
      </c>
      <c r="D134" t="s">
        <v>33</v>
      </c>
      <c r="E134" s="14" t="s">
        <v>33</v>
      </c>
      <c r="F134" t="s">
        <v>33</v>
      </c>
      <c r="G134" s="14" t="s">
        <v>33</v>
      </c>
      <c r="H134">
        <v>1</v>
      </c>
      <c r="I134" s="14">
        <f t="shared" si="44"/>
        <v>180</v>
      </c>
      <c r="J134">
        <v>7</v>
      </c>
      <c r="K134" s="14">
        <f t="shared" si="33"/>
        <v>1302</v>
      </c>
      <c r="L134">
        <v>14</v>
      </c>
      <c r="M134" s="14">
        <f t="shared" si="34"/>
        <v>2688</v>
      </c>
      <c r="N134">
        <v>5</v>
      </c>
      <c r="O134" s="14">
        <f t="shared" si="35"/>
        <v>990</v>
      </c>
      <c r="P134">
        <v>1</v>
      </c>
      <c r="Q134" s="14">
        <f t="shared" si="36"/>
        <v>204</v>
      </c>
      <c r="R134">
        <v>1</v>
      </c>
      <c r="S134" s="14">
        <f t="shared" si="37"/>
        <v>210</v>
      </c>
      <c r="T134">
        <v>0</v>
      </c>
      <c r="U134" s="14">
        <f t="shared" si="38"/>
        <v>0</v>
      </c>
      <c r="V134" t="s">
        <v>33</v>
      </c>
      <c r="W134" s="14" t="s">
        <v>33</v>
      </c>
      <c r="X134" t="s">
        <v>33</v>
      </c>
      <c r="Y134" s="14" t="s">
        <v>33</v>
      </c>
      <c r="Z134">
        <v>0</v>
      </c>
      <c r="AA134" s="14">
        <f>Z134*234</f>
        <v>0</v>
      </c>
      <c r="AB134" t="s">
        <v>33</v>
      </c>
      <c r="AC134" s="14" t="s">
        <v>33</v>
      </c>
      <c r="AD134" t="s">
        <v>33</v>
      </c>
      <c r="AE134" s="14" t="s">
        <v>33</v>
      </c>
      <c r="AF134" t="s">
        <v>33</v>
      </c>
      <c r="AG134" s="14" t="s">
        <v>33</v>
      </c>
      <c r="AH134" t="s">
        <v>33</v>
      </c>
      <c r="AI134" s="14" t="s">
        <v>33</v>
      </c>
      <c r="AJ134" t="s">
        <v>33</v>
      </c>
      <c r="AK134" s="14" t="s">
        <v>33</v>
      </c>
      <c r="AL134" t="s">
        <v>33</v>
      </c>
      <c r="AM134" s="14" t="s">
        <v>33</v>
      </c>
      <c r="AN134" t="s">
        <v>33</v>
      </c>
      <c r="AO134" s="14" t="s">
        <v>33</v>
      </c>
      <c r="AP134" t="s">
        <v>33</v>
      </c>
      <c r="AQ134" s="14" t="s">
        <v>33</v>
      </c>
      <c r="AR134" t="s">
        <v>33</v>
      </c>
      <c r="AS134" s="14" t="s">
        <v>33</v>
      </c>
      <c r="AT134" t="s">
        <v>33</v>
      </c>
      <c r="AU134" s="14" t="s">
        <v>33</v>
      </c>
      <c r="AV134" t="s">
        <v>33</v>
      </c>
      <c r="AW134" s="14" t="s">
        <v>33</v>
      </c>
      <c r="AX134" t="s">
        <v>33</v>
      </c>
      <c r="AY134" s="14" t="s">
        <v>33</v>
      </c>
      <c r="AZ134" t="s">
        <v>33</v>
      </c>
      <c r="BA134" s="14" t="s">
        <v>33</v>
      </c>
      <c r="BB134" t="s">
        <v>33</v>
      </c>
      <c r="BC134" s="14" t="s">
        <v>33</v>
      </c>
      <c r="BD134">
        <f t="shared" si="41"/>
        <v>29</v>
      </c>
      <c r="BE134">
        <f t="shared" si="42"/>
        <v>5574</v>
      </c>
      <c r="BF134">
        <f t="shared" si="43"/>
        <v>192.20689655172413</v>
      </c>
    </row>
    <row r="135" spans="1:59" x14ac:dyDescent="0.2">
      <c r="A135" t="s">
        <v>21</v>
      </c>
      <c r="B135" t="s">
        <v>5</v>
      </c>
      <c r="C135" t="s">
        <v>29</v>
      </c>
      <c r="D135" t="s">
        <v>33</v>
      </c>
      <c r="E135" s="14" t="s">
        <v>33</v>
      </c>
      <c r="F135" t="s">
        <v>33</v>
      </c>
      <c r="G135" s="14" t="s">
        <v>33</v>
      </c>
      <c r="H135">
        <v>1</v>
      </c>
      <c r="I135" s="14">
        <f t="shared" si="44"/>
        <v>180</v>
      </c>
      <c r="J135">
        <v>3</v>
      </c>
      <c r="K135" s="14">
        <f t="shared" si="33"/>
        <v>558</v>
      </c>
      <c r="L135">
        <v>15</v>
      </c>
      <c r="M135" s="14">
        <f t="shared" si="34"/>
        <v>2880</v>
      </c>
      <c r="N135">
        <v>16</v>
      </c>
      <c r="O135" s="14">
        <f t="shared" si="35"/>
        <v>3168</v>
      </c>
      <c r="P135">
        <v>3</v>
      </c>
      <c r="Q135" s="14">
        <f t="shared" si="36"/>
        <v>612</v>
      </c>
      <c r="R135">
        <v>2</v>
      </c>
      <c r="S135" s="14">
        <f t="shared" si="37"/>
        <v>420</v>
      </c>
      <c r="T135" t="s">
        <v>33</v>
      </c>
      <c r="U135" s="14" t="s">
        <v>33</v>
      </c>
      <c r="V135">
        <v>0</v>
      </c>
      <c r="W135" s="14">
        <f t="shared" si="39"/>
        <v>0</v>
      </c>
      <c r="X135" t="s">
        <v>33</v>
      </c>
      <c r="Y135" s="14" t="s">
        <v>33</v>
      </c>
      <c r="Z135" t="s">
        <v>33</v>
      </c>
      <c r="AA135" s="14" t="s">
        <v>33</v>
      </c>
      <c r="AB135" t="s">
        <v>33</v>
      </c>
      <c r="AC135" s="14" t="s">
        <v>33</v>
      </c>
      <c r="AD135" t="s">
        <v>33</v>
      </c>
      <c r="AE135" s="14" t="s">
        <v>33</v>
      </c>
      <c r="AF135" t="s">
        <v>33</v>
      </c>
      <c r="AG135" s="14" t="s">
        <v>33</v>
      </c>
      <c r="AH135" t="s">
        <v>33</v>
      </c>
      <c r="AI135" s="14" t="s">
        <v>33</v>
      </c>
      <c r="AJ135" t="s">
        <v>33</v>
      </c>
      <c r="AK135" s="14" t="s">
        <v>33</v>
      </c>
      <c r="AL135" t="s">
        <v>33</v>
      </c>
      <c r="AM135" s="14" t="s">
        <v>33</v>
      </c>
      <c r="AN135" t="s">
        <v>33</v>
      </c>
      <c r="AO135" s="14" t="s">
        <v>33</v>
      </c>
      <c r="AP135" t="s">
        <v>33</v>
      </c>
      <c r="AQ135" s="14" t="s">
        <v>33</v>
      </c>
      <c r="AR135" t="s">
        <v>33</v>
      </c>
      <c r="AS135" s="14" t="s">
        <v>33</v>
      </c>
      <c r="AT135" t="s">
        <v>33</v>
      </c>
      <c r="AU135" s="14" t="s">
        <v>33</v>
      </c>
      <c r="AV135" t="s">
        <v>33</v>
      </c>
      <c r="AW135" s="14" t="s">
        <v>33</v>
      </c>
      <c r="AX135" t="s">
        <v>33</v>
      </c>
      <c r="AY135" s="14" t="s">
        <v>33</v>
      </c>
      <c r="AZ135" t="s">
        <v>33</v>
      </c>
      <c r="BA135" s="14" t="s">
        <v>33</v>
      </c>
      <c r="BB135" t="s">
        <v>33</v>
      </c>
      <c r="BC135" s="14" t="s">
        <v>33</v>
      </c>
      <c r="BD135">
        <f t="shared" si="41"/>
        <v>40</v>
      </c>
      <c r="BE135">
        <f t="shared" si="42"/>
        <v>7818</v>
      </c>
      <c r="BF135">
        <f t="shared" si="43"/>
        <v>195.45</v>
      </c>
    </row>
    <row r="136" spans="1:59" x14ac:dyDescent="0.2">
      <c r="A136" t="s">
        <v>21</v>
      </c>
      <c r="B136" t="s">
        <v>5</v>
      </c>
      <c r="C136" t="s">
        <v>30</v>
      </c>
      <c r="D136" t="s">
        <v>33</v>
      </c>
      <c r="E136" s="14" t="s">
        <v>33</v>
      </c>
      <c r="F136" t="s">
        <v>33</v>
      </c>
      <c r="G136" s="14" t="s">
        <v>33</v>
      </c>
      <c r="H136">
        <v>0</v>
      </c>
      <c r="I136" s="14">
        <f t="shared" si="44"/>
        <v>0</v>
      </c>
      <c r="J136">
        <v>15</v>
      </c>
      <c r="K136" s="14">
        <f t="shared" si="33"/>
        <v>2790</v>
      </c>
      <c r="L136">
        <v>12</v>
      </c>
      <c r="M136" s="14">
        <f t="shared" si="34"/>
        <v>2304</v>
      </c>
      <c r="N136">
        <v>8</v>
      </c>
      <c r="O136" s="14">
        <f t="shared" si="35"/>
        <v>1584</v>
      </c>
      <c r="P136">
        <v>0</v>
      </c>
      <c r="Q136" s="14">
        <f t="shared" si="36"/>
        <v>0</v>
      </c>
      <c r="R136">
        <v>1</v>
      </c>
      <c r="S136" s="14">
        <f t="shared" si="37"/>
        <v>210</v>
      </c>
      <c r="T136" t="s">
        <v>33</v>
      </c>
      <c r="U136" s="14" t="s">
        <v>33</v>
      </c>
      <c r="V136">
        <v>1</v>
      </c>
      <c r="W136" s="14">
        <f t="shared" si="39"/>
        <v>222</v>
      </c>
      <c r="X136" t="s">
        <v>33</v>
      </c>
      <c r="Y136" s="14" t="s">
        <v>33</v>
      </c>
      <c r="Z136" t="s">
        <v>33</v>
      </c>
      <c r="AA136" s="14" t="s">
        <v>33</v>
      </c>
      <c r="AB136" t="s">
        <v>33</v>
      </c>
      <c r="AC136" s="14" t="s">
        <v>33</v>
      </c>
      <c r="AD136" t="s">
        <v>33</v>
      </c>
      <c r="AE136" s="14" t="s">
        <v>33</v>
      </c>
      <c r="AF136" t="s">
        <v>33</v>
      </c>
      <c r="AG136" s="14" t="s">
        <v>33</v>
      </c>
      <c r="AH136" t="s">
        <v>33</v>
      </c>
      <c r="AI136" s="14" t="s">
        <v>33</v>
      </c>
      <c r="AJ136" t="s">
        <v>33</v>
      </c>
      <c r="AK136" s="14" t="s">
        <v>33</v>
      </c>
      <c r="AL136" t="s">
        <v>33</v>
      </c>
      <c r="AM136" s="14" t="s">
        <v>33</v>
      </c>
      <c r="AN136" t="s">
        <v>33</v>
      </c>
      <c r="AO136" s="14" t="s">
        <v>33</v>
      </c>
      <c r="AP136" t="s">
        <v>33</v>
      </c>
      <c r="AQ136" s="14" t="s">
        <v>33</v>
      </c>
      <c r="AR136" t="s">
        <v>33</v>
      </c>
      <c r="AS136" s="14" t="s">
        <v>33</v>
      </c>
      <c r="AT136" t="s">
        <v>33</v>
      </c>
      <c r="AU136" s="14" t="s">
        <v>33</v>
      </c>
      <c r="AV136" t="s">
        <v>33</v>
      </c>
      <c r="AW136" s="14" t="s">
        <v>33</v>
      </c>
      <c r="AX136" t="s">
        <v>33</v>
      </c>
      <c r="AY136" s="14" t="s">
        <v>33</v>
      </c>
      <c r="AZ136" t="s">
        <v>33</v>
      </c>
      <c r="BA136" s="14" t="s">
        <v>33</v>
      </c>
      <c r="BB136" t="s">
        <v>33</v>
      </c>
      <c r="BC136" s="14" t="s">
        <v>33</v>
      </c>
      <c r="BD136">
        <f t="shared" si="41"/>
        <v>37</v>
      </c>
      <c r="BE136">
        <f t="shared" si="42"/>
        <v>7110</v>
      </c>
      <c r="BF136">
        <f t="shared" si="43"/>
        <v>192.16216216216216</v>
      </c>
    </row>
    <row r="137" spans="1:59" x14ac:dyDescent="0.2">
      <c r="A137" t="s">
        <v>21</v>
      </c>
      <c r="B137" t="s">
        <v>6</v>
      </c>
      <c r="C137" t="s">
        <v>29</v>
      </c>
      <c r="D137" t="s">
        <v>33</v>
      </c>
      <c r="E137" s="14" t="s">
        <v>33</v>
      </c>
      <c r="F137" t="s">
        <v>33</v>
      </c>
      <c r="G137" s="14" t="s">
        <v>33</v>
      </c>
      <c r="H137">
        <v>0</v>
      </c>
      <c r="I137" s="14">
        <f t="shared" si="44"/>
        <v>0</v>
      </c>
      <c r="J137">
        <v>8</v>
      </c>
      <c r="K137" s="14">
        <f t="shared" si="33"/>
        <v>1488</v>
      </c>
      <c r="L137">
        <v>9</v>
      </c>
      <c r="M137" s="14">
        <f t="shared" si="34"/>
        <v>1728</v>
      </c>
      <c r="N137">
        <v>20</v>
      </c>
      <c r="O137" s="14">
        <f t="shared" si="35"/>
        <v>3960</v>
      </c>
      <c r="P137">
        <v>3</v>
      </c>
      <c r="Q137" s="14">
        <f t="shared" si="36"/>
        <v>612</v>
      </c>
      <c r="R137">
        <v>3</v>
      </c>
      <c r="S137" s="14">
        <f t="shared" si="37"/>
        <v>630</v>
      </c>
      <c r="T137">
        <v>1</v>
      </c>
      <c r="U137" s="14">
        <f t="shared" si="38"/>
        <v>216</v>
      </c>
      <c r="V137">
        <v>0</v>
      </c>
      <c r="W137" s="14">
        <f t="shared" si="39"/>
        <v>0</v>
      </c>
      <c r="X137">
        <v>1</v>
      </c>
      <c r="Y137" s="14">
        <f t="shared" si="40"/>
        <v>228</v>
      </c>
      <c r="Z137" t="s">
        <v>33</v>
      </c>
      <c r="AA137" s="14" t="s">
        <v>33</v>
      </c>
      <c r="AB137" t="s">
        <v>33</v>
      </c>
      <c r="AC137" s="14" t="s">
        <v>33</v>
      </c>
      <c r="AD137" t="s">
        <v>33</v>
      </c>
      <c r="AE137" s="14" t="s">
        <v>33</v>
      </c>
      <c r="AF137" t="s">
        <v>33</v>
      </c>
      <c r="AG137" s="14" t="s">
        <v>33</v>
      </c>
      <c r="AH137" t="s">
        <v>33</v>
      </c>
      <c r="AI137" s="14" t="s">
        <v>33</v>
      </c>
      <c r="AJ137" t="s">
        <v>33</v>
      </c>
      <c r="AK137" s="14" t="s">
        <v>33</v>
      </c>
      <c r="AL137" t="s">
        <v>33</v>
      </c>
      <c r="AM137" s="14" t="s">
        <v>33</v>
      </c>
      <c r="AN137" t="s">
        <v>33</v>
      </c>
      <c r="AO137" s="14" t="s">
        <v>33</v>
      </c>
      <c r="AP137" t="s">
        <v>33</v>
      </c>
      <c r="AQ137" s="14" t="s">
        <v>33</v>
      </c>
      <c r="AR137" t="s">
        <v>33</v>
      </c>
      <c r="AS137" s="14" t="s">
        <v>33</v>
      </c>
      <c r="AT137" t="s">
        <v>33</v>
      </c>
      <c r="AU137" s="14" t="s">
        <v>33</v>
      </c>
      <c r="AV137" t="s">
        <v>33</v>
      </c>
      <c r="AW137" s="14" t="s">
        <v>33</v>
      </c>
      <c r="AX137" t="s">
        <v>33</v>
      </c>
      <c r="AY137" s="14" t="s">
        <v>33</v>
      </c>
      <c r="AZ137" t="s">
        <v>33</v>
      </c>
      <c r="BA137" s="14" t="s">
        <v>33</v>
      </c>
      <c r="BB137" t="s">
        <v>33</v>
      </c>
      <c r="BC137" s="14" t="s">
        <v>33</v>
      </c>
      <c r="BD137">
        <f t="shared" si="41"/>
        <v>45</v>
      </c>
      <c r="BE137">
        <f t="shared" si="42"/>
        <v>8862</v>
      </c>
      <c r="BF137">
        <f t="shared" si="43"/>
        <v>196.93333333333334</v>
      </c>
    </row>
    <row r="138" spans="1:59" x14ac:dyDescent="0.2">
      <c r="A138" t="s">
        <v>21</v>
      </c>
      <c r="B138" t="s">
        <v>6</v>
      </c>
      <c r="C138" t="s">
        <v>30</v>
      </c>
      <c r="D138" t="s">
        <v>33</v>
      </c>
      <c r="E138" s="14" t="s">
        <v>33</v>
      </c>
      <c r="F138" t="s">
        <v>33</v>
      </c>
      <c r="G138" s="14" t="s">
        <v>33</v>
      </c>
      <c r="H138">
        <v>6</v>
      </c>
      <c r="I138" s="14">
        <f t="shared" si="44"/>
        <v>1080</v>
      </c>
      <c r="J138">
        <v>15</v>
      </c>
      <c r="K138" s="14">
        <f t="shared" si="33"/>
        <v>2790</v>
      </c>
      <c r="L138">
        <v>14</v>
      </c>
      <c r="M138" s="14">
        <f t="shared" si="34"/>
        <v>2688</v>
      </c>
      <c r="N138">
        <v>9</v>
      </c>
      <c r="O138" s="14">
        <f t="shared" si="35"/>
        <v>1782</v>
      </c>
      <c r="P138">
        <v>5</v>
      </c>
      <c r="Q138" s="14">
        <f t="shared" si="36"/>
        <v>1020</v>
      </c>
      <c r="R138">
        <v>0</v>
      </c>
      <c r="S138" s="14">
        <f t="shared" si="37"/>
        <v>0</v>
      </c>
      <c r="T138">
        <v>1</v>
      </c>
      <c r="U138" s="14">
        <f t="shared" si="38"/>
        <v>216</v>
      </c>
      <c r="V138">
        <v>1</v>
      </c>
      <c r="W138" s="14">
        <f t="shared" si="39"/>
        <v>222</v>
      </c>
      <c r="X138">
        <v>0</v>
      </c>
      <c r="Y138" s="14">
        <f t="shared" si="40"/>
        <v>0</v>
      </c>
      <c r="Z138" t="s">
        <v>33</v>
      </c>
      <c r="AA138" s="14" t="s">
        <v>33</v>
      </c>
      <c r="AB138" t="s">
        <v>33</v>
      </c>
      <c r="AC138" s="14" t="s">
        <v>33</v>
      </c>
      <c r="AD138" t="s">
        <v>33</v>
      </c>
      <c r="AE138" s="14" t="s">
        <v>33</v>
      </c>
      <c r="AF138" t="s">
        <v>33</v>
      </c>
      <c r="AG138" s="14" t="s">
        <v>33</v>
      </c>
      <c r="AH138" t="s">
        <v>33</v>
      </c>
      <c r="AI138" s="14" t="s">
        <v>33</v>
      </c>
      <c r="AJ138" t="s">
        <v>33</v>
      </c>
      <c r="AK138" s="14" t="s">
        <v>33</v>
      </c>
      <c r="AL138" t="s">
        <v>33</v>
      </c>
      <c r="AM138" s="14" t="s">
        <v>33</v>
      </c>
      <c r="AN138" t="s">
        <v>33</v>
      </c>
      <c r="AO138" s="14" t="s">
        <v>33</v>
      </c>
      <c r="AP138" t="s">
        <v>33</v>
      </c>
      <c r="AQ138" s="14" t="s">
        <v>33</v>
      </c>
      <c r="AR138" t="s">
        <v>33</v>
      </c>
      <c r="AS138" s="14" t="s">
        <v>33</v>
      </c>
      <c r="AT138" t="s">
        <v>33</v>
      </c>
      <c r="AU138" s="14" t="s">
        <v>33</v>
      </c>
      <c r="AV138" t="s">
        <v>33</v>
      </c>
      <c r="AW138" s="14" t="s">
        <v>33</v>
      </c>
      <c r="AX138" t="s">
        <v>33</v>
      </c>
      <c r="AY138" s="14" t="s">
        <v>33</v>
      </c>
      <c r="AZ138" t="s">
        <v>33</v>
      </c>
      <c r="BA138" s="14" t="s">
        <v>33</v>
      </c>
      <c r="BB138" t="s">
        <v>33</v>
      </c>
      <c r="BC138" s="14" t="s">
        <v>33</v>
      </c>
      <c r="BD138">
        <f t="shared" si="41"/>
        <v>51</v>
      </c>
      <c r="BE138">
        <f t="shared" si="42"/>
        <v>9798</v>
      </c>
      <c r="BF138">
        <f t="shared" si="43"/>
        <v>192.11764705882354</v>
      </c>
    </row>
    <row r="139" spans="1:59" x14ac:dyDescent="0.2">
      <c r="A139" t="s">
        <v>21</v>
      </c>
      <c r="B139" t="s">
        <v>7</v>
      </c>
      <c r="C139" t="s">
        <v>29</v>
      </c>
      <c r="D139" t="s">
        <v>33</v>
      </c>
      <c r="E139" s="14" t="s">
        <v>33</v>
      </c>
      <c r="F139" t="s">
        <v>33</v>
      </c>
      <c r="G139" s="14" t="s">
        <v>33</v>
      </c>
      <c r="H139">
        <v>2</v>
      </c>
      <c r="I139" s="14">
        <f t="shared" si="44"/>
        <v>360</v>
      </c>
      <c r="J139">
        <v>5</v>
      </c>
      <c r="K139" s="14">
        <f t="shared" si="33"/>
        <v>930</v>
      </c>
      <c r="L139">
        <v>18</v>
      </c>
      <c r="M139" s="14">
        <f t="shared" si="34"/>
        <v>3456</v>
      </c>
      <c r="N139">
        <v>10</v>
      </c>
      <c r="O139" s="14">
        <f t="shared" si="35"/>
        <v>1980</v>
      </c>
      <c r="P139">
        <v>3</v>
      </c>
      <c r="Q139" s="14">
        <f t="shared" si="36"/>
        <v>612</v>
      </c>
      <c r="R139">
        <v>0</v>
      </c>
      <c r="S139" s="14">
        <f t="shared" si="37"/>
        <v>0</v>
      </c>
      <c r="T139">
        <v>1</v>
      </c>
      <c r="U139" s="14">
        <f t="shared" si="38"/>
        <v>216</v>
      </c>
      <c r="V139" t="s">
        <v>33</v>
      </c>
      <c r="W139" s="14" t="s">
        <v>33</v>
      </c>
      <c r="X139" t="s">
        <v>33</v>
      </c>
      <c r="Y139" s="14" t="s">
        <v>33</v>
      </c>
      <c r="Z139" t="s">
        <v>33</v>
      </c>
      <c r="AA139" s="14" t="s">
        <v>33</v>
      </c>
      <c r="AB139" t="s">
        <v>33</v>
      </c>
      <c r="AC139" s="14" t="s">
        <v>33</v>
      </c>
      <c r="AD139" t="s">
        <v>33</v>
      </c>
      <c r="AE139" s="14" t="s">
        <v>33</v>
      </c>
      <c r="AF139" t="s">
        <v>33</v>
      </c>
      <c r="AG139" s="14" t="s">
        <v>33</v>
      </c>
      <c r="AH139" t="s">
        <v>33</v>
      </c>
      <c r="AI139" s="14" t="s">
        <v>33</v>
      </c>
      <c r="AJ139" t="s">
        <v>33</v>
      </c>
      <c r="AK139" s="14" t="s">
        <v>33</v>
      </c>
      <c r="AL139" t="s">
        <v>33</v>
      </c>
      <c r="AM139" s="14" t="s">
        <v>33</v>
      </c>
      <c r="AN139" t="s">
        <v>33</v>
      </c>
      <c r="AO139" s="14" t="s">
        <v>33</v>
      </c>
      <c r="AP139" t="s">
        <v>33</v>
      </c>
      <c r="AQ139" s="14" t="s">
        <v>33</v>
      </c>
      <c r="AR139" t="s">
        <v>33</v>
      </c>
      <c r="AS139" s="14" t="s">
        <v>33</v>
      </c>
      <c r="AT139" t="s">
        <v>33</v>
      </c>
      <c r="AU139" s="14" t="s">
        <v>33</v>
      </c>
      <c r="AV139" t="s">
        <v>33</v>
      </c>
      <c r="AW139" s="14" t="s">
        <v>33</v>
      </c>
      <c r="AX139" t="s">
        <v>33</v>
      </c>
      <c r="AY139" s="14" t="s">
        <v>33</v>
      </c>
      <c r="AZ139" t="s">
        <v>33</v>
      </c>
      <c r="BA139" s="14" t="s">
        <v>33</v>
      </c>
      <c r="BB139" t="s">
        <v>33</v>
      </c>
      <c r="BC139" s="14" t="s">
        <v>33</v>
      </c>
      <c r="BD139">
        <f t="shared" si="41"/>
        <v>39</v>
      </c>
      <c r="BE139">
        <f t="shared" si="42"/>
        <v>7554</v>
      </c>
      <c r="BF139">
        <f t="shared" si="43"/>
        <v>193.69230769230768</v>
      </c>
    </row>
    <row r="140" spans="1:59" x14ac:dyDescent="0.2">
      <c r="A140" t="s">
        <v>21</v>
      </c>
      <c r="B140" t="s">
        <v>7</v>
      </c>
      <c r="C140" t="s">
        <v>30</v>
      </c>
      <c r="D140" t="s">
        <v>33</v>
      </c>
      <c r="E140" s="14" t="s">
        <v>33</v>
      </c>
      <c r="F140" t="s">
        <v>33</v>
      </c>
      <c r="G140" s="14" t="s">
        <v>33</v>
      </c>
      <c r="H140">
        <v>3</v>
      </c>
      <c r="I140" s="14">
        <f t="shared" si="44"/>
        <v>540</v>
      </c>
      <c r="J140">
        <v>11</v>
      </c>
      <c r="K140" s="14">
        <f t="shared" si="33"/>
        <v>2046</v>
      </c>
      <c r="L140">
        <v>13</v>
      </c>
      <c r="M140" s="14">
        <f t="shared" si="34"/>
        <v>2496</v>
      </c>
      <c r="N140">
        <v>2</v>
      </c>
      <c r="O140" s="14">
        <f t="shared" si="35"/>
        <v>396</v>
      </c>
      <c r="P140">
        <v>0</v>
      </c>
      <c r="Q140" s="14">
        <f t="shared" si="36"/>
        <v>0</v>
      </c>
      <c r="R140">
        <v>2</v>
      </c>
      <c r="S140" s="14">
        <f t="shared" si="37"/>
        <v>420</v>
      </c>
      <c r="T140">
        <v>0</v>
      </c>
      <c r="U140" s="14">
        <f t="shared" si="38"/>
        <v>0</v>
      </c>
      <c r="V140" t="s">
        <v>33</v>
      </c>
      <c r="W140" s="14" t="s">
        <v>33</v>
      </c>
      <c r="X140" t="s">
        <v>33</v>
      </c>
      <c r="Y140" s="14" t="s">
        <v>33</v>
      </c>
      <c r="Z140" t="s">
        <v>33</v>
      </c>
      <c r="AA140" s="14" t="s">
        <v>33</v>
      </c>
      <c r="AB140" t="s">
        <v>33</v>
      </c>
      <c r="AC140" s="14" t="s">
        <v>33</v>
      </c>
      <c r="AD140" t="s">
        <v>33</v>
      </c>
      <c r="AE140" s="14" t="s">
        <v>33</v>
      </c>
      <c r="AF140" t="s">
        <v>33</v>
      </c>
      <c r="AG140" s="14" t="s">
        <v>33</v>
      </c>
      <c r="AH140" t="s">
        <v>33</v>
      </c>
      <c r="AI140" s="14" t="s">
        <v>33</v>
      </c>
      <c r="AJ140" t="s">
        <v>33</v>
      </c>
      <c r="AK140" s="14" t="s">
        <v>33</v>
      </c>
      <c r="AL140" t="s">
        <v>33</v>
      </c>
      <c r="AM140" s="14" t="s">
        <v>33</v>
      </c>
      <c r="AN140" t="s">
        <v>33</v>
      </c>
      <c r="AO140" s="14" t="s">
        <v>33</v>
      </c>
      <c r="AP140" t="s">
        <v>33</v>
      </c>
      <c r="AQ140" s="14" t="s">
        <v>33</v>
      </c>
      <c r="AR140" t="s">
        <v>33</v>
      </c>
      <c r="AS140" s="14" t="s">
        <v>33</v>
      </c>
      <c r="AT140" t="s">
        <v>33</v>
      </c>
      <c r="AU140" s="14" t="s">
        <v>33</v>
      </c>
      <c r="AV140" t="s">
        <v>33</v>
      </c>
      <c r="AW140" s="14" t="s">
        <v>33</v>
      </c>
      <c r="AX140" t="s">
        <v>33</v>
      </c>
      <c r="AY140" s="14" t="s">
        <v>33</v>
      </c>
      <c r="AZ140" t="s">
        <v>33</v>
      </c>
      <c r="BA140" s="14" t="s">
        <v>33</v>
      </c>
      <c r="BB140" t="s">
        <v>33</v>
      </c>
      <c r="BC140" s="14" t="s">
        <v>33</v>
      </c>
      <c r="BD140">
        <f t="shared" si="41"/>
        <v>31</v>
      </c>
      <c r="BE140">
        <f t="shared" si="42"/>
        <v>5898</v>
      </c>
      <c r="BF140">
        <f t="shared" si="43"/>
        <v>190.25806451612902</v>
      </c>
    </row>
    <row r="141" spans="1:59" x14ac:dyDescent="0.2">
      <c r="A141" t="s">
        <v>21</v>
      </c>
      <c r="B141" t="s">
        <v>8</v>
      </c>
      <c r="C141" t="s">
        <v>29</v>
      </c>
      <c r="D141" t="s">
        <v>33</v>
      </c>
      <c r="E141" s="14" t="s">
        <v>33</v>
      </c>
      <c r="F141" t="s">
        <v>33</v>
      </c>
      <c r="G141" s="14" t="s">
        <v>33</v>
      </c>
      <c r="H141">
        <v>0</v>
      </c>
      <c r="I141" s="14">
        <f t="shared" si="44"/>
        <v>0</v>
      </c>
      <c r="J141">
        <v>6</v>
      </c>
      <c r="K141" s="14">
        <f t="shared" si="33"/>
        <v>1116</v>
      </c>
      <c r="L141">
        <v>17</v>
      </c>
      <c r="M141" s="14">
        <f t="shared" si="34"/>
        <v>3264</v>
      </c>
      <c r="N141">
        <v>5</v>
      </c>
      <c r="O141" s="14">
        <f t="shared" si="35"/>
        <v>990</v>
      </c>
      <c r="P141">
        <v>1</v>
      </c>
      <c r="Q141" s="14">
        <f t="shared" si="36"/>
        <v>204</v>
      </c>
      <c r="R141">
        <v>1</v>
      </c>
      <c r="S141" s="14">
        <f t="shared" si="37"/>
        <v>210</v>
      </c>
      <c r="T141">
        <v>2</v>
      </c>
      <c r="U141" s="14">
        <f t="shared" si="38"/>
        <v>432</v>
      </c>
      <c r="V141" t="s">
        <v>33</v>
      </c>
      <c r="W141" s="14" t="s">
        <v>33</v>
      </c>
      <c r="X141" t="s">
        <v>33</v>
      </c>
      <c r="Y141" s="14" t="s">
        <v>33</v>
      </c>
      <c r="Z141" t="s">
        <v>33</v>
      </c>
      <c r="AA141" s="14" t="s">
        <v>33</v>
      </c>
      <c r="AB141" t="s">
        <v>33</v>
      </c>
      <c r="AC141" s="14" t="s">
        <v>33</v>
      </c>
      <c r="AD141">
        <v>1</v>
      </c>
      <c r="AE141" s="14">
        <f>AD141*246</f>
        <v>246</v>
      </c>
      <c r="AF141" t="s">
        <v>33</v>
      </c>
      <c r="AG141" s="14" t="s">
        <v>33</v>
      </c>
      <c r="AH141" t="s">
        <v>33</v>
      </c>
      <c r="AI141" s="14" t="s">
        <v>33</v>
      </c>
      <c r="AJ141" t="s">
        <v>33</v>
      </c>
      <c r="AK141" s="14" t="s">
        <v>33</v>
      </c>
      <c r="AL141" t="s">
        <v>33</v>
      </c>
      <c r="AM141" s="14" t="s">
        <v>33</v>
      </c>
      <c r="AN141" t="s">
        <v>33</v>
      </c>
      <c r="AO141" s="14" t="s">
        <v>33</v>
      </c>
      <c r="AP141" t="s">
        <v>33</v>
      </c>
      <c r="AQ141" s="14" t="s">
        <v>33</v>
      </c>
      <c r="AR141" t="s">
        <v>33</v>
      </c>
      <c r="AS141" s="14" t="s">
        <v>33</v>
      </c>
      <c r="AT141" t="s">
        <v>33</v>
      </c>
      <c r="AU141" s="14" t="s">
        <v>33</v>
      </c>
      <c r="AV141" t="s">
        <v>33</v>
      </c>
      <c r="AW141" s="14" t="s">
        <v>33</v>
      </c>
      <c r="AX141" t="s">
        <v>33</v>
      </c>
      <c r="AY141" s="14" t="s">
        <v>33</v>
      </c>
      <c r="AZ141" t="s">
        <v>33</v>
      </c>
      <c r="BA141" s="14" t="s">
        <v>33</v>
      </c>
      <c r="BB141" t="s">
        <v>33</v>
      </c>
      <c r="BC141" s="14" t="s">
        <v>33</v>
      </c>
      <c r="BD141">
        <f t="shared" si="41"/>
        <v>33</v>
      </c>
      <c r="BE141">
        <f t="shared" si="42"/>
        <v>6462</v>
      </c>
      <c r="BF141">
        <f t="shared" si="43"/>
        <v>195.81818181818181</v>
      </c>
    </row>
    <row r="142" spans="1:59" x14ac:dyDescent="0.2">
      <c r="A142" t="s">
        <v>21</v>
      </c>
      <c r="B142" t="s">
        <v>8</v>
      </c>
      <c r="C142" t="s">
        <v>30</v>
      </c>
      <c r="D142" t="s">
        <v>33</v>
      </c>
      <c r="E142" s="14" t="s">
        <v>33</v>
      </c>
      <c r="F142" t="s">
        <v>33</v>
      </c>
      <c r="G142" s="14" t="s">
        <v>33</v>
      </c>
      <c r="H142">
        <v>4</v>
      </c>
      <c r="I142" s="14">
        <f t="shared" si="44"/>
        <v>720</v>
      </c>
      <c r="J142">
        <v>16</v>
      </c>
      <c r="K142" s="14">
        <f t="shared" si="33"/>
        <v>2976</v>
      </c>
      <c r="L142">
        <v>11</v>
      </c>
      <c r="M142" s="14">
        <f t="shared" si="34"/>
        <v>2112</v>
      </c>
      <c r="N142">
        <v>5</v>
      </c>
      <c r="O142" s="14">
        <f t="shared" si="35"/>
        <v>990</v>
      </c>
      <c r="P142">
        <v>1</v>
      </c>
      <c r="Q142" s="14">
        <f t="shared" si="36"/>
        <v>204</v>
      </c>
      <c r="R142">
        <v>0</v>
      </c>
      <c r="S142" s="14">
        <f t="shared" si="37"/>
        <v>0</v>
      </c>
      <c r="T142">
        <v>0</v>
      </c>
      <c r="U142" s="14">
        <f t="shared" si="38"/>
        <v>0</v>
      </c>
      <c r="V142" t="s">
        <v>33</v>
      </c>
      <c r="W142" s="14" t="s">
        <v>33</v>
      </c>
      <c r="X142" t="s">
        <v>33</v>
      </c>
      <c r="Y142" s="14" t="s">
        <v>33</v>
      </c>
      <c r="Z142" t="s">
        <v>33</v>
      </c>
      <c r="AA142" s="14" t="s">
        <v>33</v>
      </c>
      <c r="AB142" t="s">
        <v>33</v>
      </c>
      <c r="AC142" s="14" t="s">
        <v>33</v>
      </c>
      <c r="AD142">
        <v>1</v>
      </c>
      <c r="AE142" s="14">
        <f>AD142*246</f>
        <v>246</v>
      </c>
      <c r="AF142" t="s">
        <v>33</v>
      </c>
      <c r="AG142" s="14" t="s">
        <v>33</v>
      </c>
      <c r="AH142" t="s">
        <v>33</v>
      </c>
      <c r="AI142" s="14" t="s">
        <v>33</v>
      </c>
      <c r="AJ142" t="s">
        <v>33</v>
      </c>
      <c r="AK142" s="14" t="s">
        <v>33</v>
      </c>
      <c r="AL142" t="s">
        <v>33</v>
      </c>
      <c r="AM142" s="14" t="s">
        <v>33</v>
      </c>
      <c r="AN142" t="s">
        <v>33</v>
      </c>
      <c r="AO142" s="14" t="s">
        <v>33</v>
      </c>
      <c r="AP142" t="s">
        <v>33</v>
      </c>
      <c r="AQ142" s="14" t="s">
        <v>33</v>
      </c>
      <c r="AR142" t="s">
        <v>33</v>
      </c>
      <c r="AS142" s="14" t="s">
        <v>33</v>
      </c>
      <c r="AT142" t="s">
        <v>33</v>
      </c>
      <c r="AU142" s="14" t="s">
        <v>33</v>
      </c>
      <c r="AV142" t="s">
        <v>33</v>
      </c>
      <c r="AW142" s="14" t="s">
        <v>33</v>
      </c>
      <c r="AX142" t="s">
        <v>33</v>
      </c>
      <c r="AY142" s="14" t="s">
        <v>33</v>
      </c>
      <c r="AZ142" t="s">
        <v>33</v>
      </c>
      <c r="BA142" s="14" t="s">
        <v>33</v>
      </c>
      <c r="BB142" t="s">
        <v>33</v>
      </c>
      <c r="BC142" s="14" t="s">
        <v>33</v>
      </c>
      <c r="BD142">
        <f t="shared" si="41"/>
        <v>38</v>
      </c>
      <c r="BE142">
        <f t="shared" si="42"/>
        <v>7248</v>
      </c>
      <c r="BF142">
        <f t="shared" si="43"/>
        <v>190.73684210526315</v>
      </c>
    </row>
    <row r="143" spans="1:59" x14ac:dyDescent="0.2">
      <c r="A143" t="s">
        <v>22</v>
      </c>
      <c r="B143" t="s">
        <v>4</v>
      </c>
      <c r="C143" t="s">
        <v>29</v>
      </c>
      <c r="D143" t="s">
        <v>33</v>
      </c>
      <c r="E143" s="14" t="s">
        <v>33</v>
      </c>
      <c r="F143" t="s">
        <v>33</v>
      </c>
      <c r="G143" s="14" t="s">
        <v>33</v>
      </c>
      <c r="H143" t="s">
        <v>33</v>
      </c>
      <c r="I143" s="14" t="s">
        <v>33</v>
      </c>
      <c r="J143">
        <v>3</v>
      </c>
      <c r="K143" s="14">
        <f t="shared" si="33"/>
        <v>558</v>
      </c>
      <c r="L143">
        <v>10</v>
      </c>
      <c r="M143" s="14">
        <f t="shared" si="34"/>
        <v>1920</v>
      </c>
      <c r="N143">
        <v>9</v>
      </c>
      <c r="O143" s="14">
        <f t="shared" si="35"/>
        <v>1782</v>
      </c>
      <c r="P143">
        <v>4</v>
      </c>
      <c r="Q143" s="14">
        <f t="shared" si="36"/>
        <v>816</v>
      </c>
      <c r="R143" t="s">
        <v>33</v>
      </c>
      <c r="S143" s="14" t="s">
        <v>33</v>
      </c>
      <c r="T143" t="s">
        <v>33</v>
      </c>
      <c r="U143" s="14" t="s">
        <v>33</v>
      </c>
      <c r="V143">
        <v>1</v>
      </c>
      <c r="W143" s="14">
        <f t="shared" si="39"/>
        <v>222</v>
      </c>
      <c r="X143">
        <v>0</v>
      </c>
      <c r="Y143" s="14">
        <f t="shared" si="40"/>
        <v>0</v>
      </c>
      <c r="Z143" t="s">
        <v>33</v>
      </c>
      <c r="AA143" s="14" t="s">
        <v>33</v>
      </c>
      <c r="AB143">
        <v>0</v>
      </c>
      <c r="AC143" s="14">
        <f>AB143*240</f>
        <v>0</v>
      </c>
      <c r="AD143" t="s">
        <v>33</v>
      </c>
      <c r="AE143" s="14" t="s">
        <v>33</v>
      </c>
      <c r="AF143" t="s">
        <v>33</v>
      </c>
      <c r="AG143" s="14" t="s">
        <v>33</v>
      </c>
      <c r="AH143" t="s">
        <v>33</v>
      </c>
      <c r="AI143" s="14" t="s">
        <v>33</v>
      </c>
      <c r="AJ143" t="s">
        <v>33</v>
      </c>
      <c r="AK143" s="14" t="s">
        <v>33</v>
      </c>
      <c r="AL143" t="s">
        <v>33</v>
      </c>
      <c r="AM143" s="14" t="s">
        <v>33</v>
      </c>
      <c r="AN143" t="s">
        <v>33</v>
      </c>
      <c r="AO143" s="14" t="s">
        <v>33</v>
      </c>
      <c r="AP143" t="s">
        <v>33</v>
      </c>
      <c r="AQ143" s="14" t="s">
        <v>33</v>
      </c>
      <c r="AR143" t="s">
        <v>33</v>
      </c>
      <c r="AS143" s="14" t="s">
        <v>33</v>
      </c>
      <c r="AT143" t="s">
        <v>33</v>
      </c>
      <c r="AU143" s="14" t="s">
        <v>33</v>
      </c>
      <c r="AV143" t="s">
        <v>33</v>
      </c>
      <c r="AW143" s="14" t="s">
        <v>33</v>
      </c>
      <c r="AX143" t="s">
        <v>33</v>
      </c>
      <c r="AY143" s="14" t="s">
        <v>33</v>
      </c>
      <c r="AZ143" t="s">
        <v>33</v>
      </c>
      <c r="BA143" s="14" t="s">
        <v>33</v>
      </c>
      <c r="BB143" t="s">
        <v>33</v>
      </c>
      <c r="BC143" s="14" t="s">
        <v>33</v>
      </c>
      <c r="BD143">
        <f t="shared" si="41"/>
        <v>27</v>
      </c>
      <c r="BE143">
        <f t="shared" si="42"/>
        <v>5298</v>
      </c>
      <c r="BF143">
        <f t="shared" si="43"/>
        <v>196.22222222222223</v>
      </c>
    </row>
    <row r="144" spans="1:59" x14ac:dyDescent="0.2">
      <c r="A144" t="s">
        <v>22</v>
      </c>
      <c r="B144" t="s">
        <v>4</v>
      </c>
      <c r="C144" t="s">
        <v>30</v>
      </c>
      <c r="D144" t="s">
        <v>33</v>
      </c>
      <c r="E144" s="14" t="s">
        <v>33</v>
      </c>
      <c r="F144" t="s">
        <v>33</v>
      </c>
      <c r="G144" s="14" t="s">
        <v>33</v>
      </c>
      <c r="H144" t="s">
        <v>33</v>
      </c>
      <c r="I144" s="14" t="s">
        <v>33</v>
      </c>
      <c r="J144">
        <v>14</v>
      </c>
      <c r="K144" s="14">
        <f t="shared" si="33"/>
        <v>2604</v>
      </c>
      <c r="L144">
        <v>17</v>
      </c>
      <c r="M144" s="14">
        <f t="shared" si="34"/>
        <v>3264</v>
      </c>
      <c r="N144">
        <v>7</v>
      </c>
      <c r="O144" s="14">
        <f t="shared" si="35"/>
        <v>1386</v>
      </c>
      <c r="P144">
        <v>0</v>
      </c>
      <c r="Q144" s="14">
        <f t="shared" si="36"/>
        <v>0</v>
      </c>
      <c r="R144" t="s">
        <v>33</v>
      </c>
      <c r="S144" s="14" t="s">
        <v>33</v>
      </c>
      <c r="T144" t="s">
        <v>33</v>
      </c>
      <c r="U144" s="14" t="s">
        <v>33</v>
      </c>
      <c r="V144">
        <v>0</v>
      </c>
      <c r="W144" s="14">
        <f t="shared" si="39"/>
        <v>0</v>
      </c>
      <c r="X144">
        <v>1</v>
      </c>
      <c r="Y144" s="14">
        <f t="shared" si="40"/>
        <v>228</v>
      </c>
      <c r="Z144" t="s">
        <v>33</v>
      </c>
      <c r="AA144" s="14" t="s">
        <v>33</v>
      </c>
      <c r="AB144">
        <v>1</v>
      </c>
      <c r="AC144" s="14">
        <f>AB144*240</f>
        <v>240</v>
      </c>
      <c r="AD144" t="s">
        <v>33</v>
      </c>
      <c r="AE144" s="14" t="s">
        <v>33</v>
      </c>
      <c r="AF144" t="s">
        <v>33</v>
      </c>
      <c r="AG144" s="14" t="s">
        <v>33</v>
      </c>
      <c r="AH144" t="s">
        <v>33</v>
      </c>
      <c r="AI144" s="14" t="s">
        <v>33</v>
      </c>
      <c r="AJ144" t="s">
        <v>33</v>
      </c>
      <c r="AK144" s="14" t="s">
        <v>33</v>
      </c>
      <c r="AL144" t="s">
        <v>33</v>
      </c>
      <c r="AM144" s="14" t="s">
        <v>33</v>
      </c>
      <c r="AN144" t="s">
        <v>33</v>
      </c>
      <c r="AO144" s="14" t="s">
        <v>33</v>
      </c>
      <c r="AP144" t="s">
        <v>33</v>
      </c>
      <c r="AQ144" s="14" t="s">
        <v>33</v>
      </c>
      <c r="AR144" t="s">
        <v>33</v>
      </c>
      <c r="AS144" s="14" t="s">
        <v>33</v>
      </c>
      <c r="AT144" t="s">
        <v>33</v>
      </c>
      <c r="AU144" s="14" t="s">
        <v>33</v>
      </c>
      <c r="AV144" t="s">
        <v>33</v>
      </c>
      <c r="AW144" s="14" t="s">
        <v>33</v>
      </c>
      <c r="AX144" t="s">
        <v>33</v>
      </c>
      <c r="AY144" s="14" t="s">
        <v>33</v>
      </c>
      <c r="AZ144" t="s">
        <v>33</v>
      </c>
      <c r="BA144" s="14" t="s">
        <v>33</v>
      </c>
      <c r="BB144" t="s">
        <v>33</v>
      </c>
      <c r="BC144" s="14" t="s">
        <v>33</v>
      </c>
      <c r="BD144">
        <f t="shared" si="41"/>
        <v>40</v>
      </c>
      <c r="BE144">
        <f t="shared" si="42"/>
        <v>7722</v>
      </c>
      <c r="BF144">
        <f t="shared" si="43"/>
        <v>193.05</v>
      </c>
    </row>
    <row r="145" spans="1:59" x14ac:dyDescent="0.2">
      <c r="A145" t="s">
        <v>22</v>
      </c>
      <c r="B145" t="s">
        <v>5</v>
      </c>
      <c r="C145" t="s">
        <v>29</v>
      </c>
      <c r="D145" t="s">
        <v>33</v>
      </c>
      <c r="E145" s="14" t="s">
        <v>33</v>
      </c>
      <c r="F145" t="s">
        <v>33</v>
      </c>
      <c r="G145" s="14" t="s">
        <v>33</v>
      </c>
      <c r="H145" t="s">
        <v>33</v>
      </c>
      <c r="I145" s="14" t="s">
        <v>33</v>
      </c>
      <c r="J145">
        <v>1</v>
      </c>
      <c r="K145" s="14">
        <f t="shared" si="33"/>
        <v>186</v>
      </c>
      <c r="L145">
        <v>15</v>
      </c>
      <c r="M145" s="14">
        <f t="shared" si="34"/>
        <v>2880</v>
      </c>
      <c r="N145">
        <v>16</v>
      </c>
      <c r="O145" s="14">
        <f t="shared" si="35"/>
        <v>3168</v>
      </c>
      <c r="P145">
        <v>4</v>
      </c>
      <c r="Q145" s="14">
        <f t="shared" si="36"/>
        <v>816</v>
      </c>
      <c r="R145">
        <v>0</v>
      </c>
      <c r="S145" s="14">
        <f t="shared" si="37"/>
        <v>0</v>
      </c>
      <c r="T145">
        <v>0</v>
      </c>
      <c r="U145" s="14">
        <f t="shared" si="38"/>
        <v>0</v>
      </c>
      <c r="V145" t="s">
        <v>33</v>
      </c>
      <c r="W145" s="14" t="s">
        <v>33</v>
      </c>
      <c r="X145" t="s">
        <v>33</v>
      </c>
      <c r="Y145" s="14" t="s">
        <v>33</v>
      </c>
      <c r="Z145" t="s">
        <v>33</v>
      </c>
      <c r="AA145" s="14" t="s">
        <v>33</v>
      </c>
      <c r="AB145" t="s">
        <v>33</v>
      </c>
      <c r="AC145" s="14" t="s">
        <v>33</v>
      </c>
      <c r="AD145" t="s">
        <v>33</v>
      </c>
      <c r="AE145" s="14" t="s">
        <v>33</v>
      </c>
      <c r="AF145" t="s">
        <v>33</v>
      </c>
      <c r="AG145" s="14" t="s">
        <v>33</v>
      </c>
      <c r="AH145" t="s">
        <v>33</v>
      </c>
      <c r="AI145" s="14" t="s">
        <v>33</v>
      </c>
      <c r="AJ145" t="s">
        <v>33</v>
      </c>
      <c r="AK145" s="14" t="s">
        <v>33</v>
      </c>
      <c r="AL145" t="s">
        <v>33</v>
      </c>
      <c r="AM145" s="14" t="s">
        <v>33</v>
      </c>
      <c r="AN145" t="s">
        <v>33</v>
      </c>
      <c r="AO145" s="14" t="s">
        <v>33</v>
      </c>
      <c r="AP145" t="s">
        <v>33</v>
      </c>
      <c r="AQ145" s="14" t="s">
        <v>33</v>
      </c>
      <c r="AR145" t="s">
        <v>33</v>
      </c>
      <c r="AS145" s="14" t="s">
        <v>33</v>
      </c>
      <c r="AT145" t="s">
        <v>33</v>
      </c>
      <c r="AU145" s="14" t="s">
        <v>33</v>
      </c>
      <c r="AV145" t="s">
        <v>33</v>
      </c>
      <c r="AW145" s="14" t="s">
        <v>33</v>
      </c>
      <c r="AX145" t="s">
        <v>33</v>
      </c>
      <c r="AY145" s="14" t="s">
        <v>33</v>
      </c>
      <c r="AZ145" t="s">
        <v>33</v>
      </c>
      <c r="BA145" s="14" t="s">
        <v>33</v>
      </c>
      <c r="BB145" t="s">
        <v>33</v>
      </c>
      <c r="BC145" s="14" t="s">
        <v>33</v>
      </c>
      <c r="BD145">
        <f t="shared" si="41"/>
        <v>36</v>
      </c>
      <c r="BE145">
        <f t="shared" si="42"/>
        <v>7050</v>
      </c>
      <c r="BF145">
        <f t="shared" si="43"/>
        <v>195.83333333333334</v>
      </c>
    </row>
    <row r="146" spans="1:59" x14ac:dyDescent="0.2">
      <c r="A146" t="s">
        <v>22</v>
      </c>
      <c r="B146" t="s">
        <v>5</v>
      </c>
      <c r="C146" t="s">
        <v>30</v>
      </c>
      <c r="D146" t="s">
        <v>33</v>
      </c>
      <c r="E146" s="14" t="s">
        <v>33</v>
      </c>
      <c r="F146" t="s">
        <v>33</v>
      </c>
      <c r="G146" s="14" t="s">
        <v>33</v>
      </c>
      <c r="H146" t="s">
        <v>33</v>
      </c>
      <c r="I146" s="14" t="s">
        <v>33</v>
      </c>
      <c r="J146">
        <v>9</v>
      </c>
      <c r="K146" s="14">
        <f t="shared" si="33"/>
        <v>1674</v>
      </c>
      <c r="L146">
        <v>17</v>
      </c>
      <c r="M146" s="14">
        <f t="shared" si="34"/>
        <v>3264</v>
      </c>
      <c r="N146">
        <v>4</v>
      </c>
      <c r="O146" s="14">
        <f t="shared" si="35"/>
        <v>792</v>
      </c>
      <c r="P146">
        <v>2</v>
      </c>
      <c r="Q146" s="14">
        <f t="shared" si="36"/>
        <v>408</v>
      </c>
      <c r="R146">
        <v>2</v>
      </c>
      <c r="S146" s="14">
        <f t="shared" si="37"/>
        <v>420</v>
      </c>
      <c r="T146">
        <v>1</v>
      </c>
      <c r="U146" s="14">
        <f t="shared" si="38"/>
        <v>216</v>
      </c>
      <c r="V146" t="s">
        <v>33</v>
      </c>
      <c r="W146" s="14" t="s">
        <v>33</v>
      </c>
      <c r="X146" t="s">
        <v>33</v>
      </c>
      <c r="Y146" s="14" t="s">
        <v>33</v>
      </c>
      <c r="Z146" t="s">
        <v>33</v>
      </c>
      <c r="AA146" s="14" t="s">
        <v>33</v>
      </c>
      <c r="AB146" t="s">
        <v>33</v>
      </c>
      <c r="AC146" s="14" t="s">
        <v>33</v>
      </c>
      <c r="AD146" t="s">
        <v>33</v>
      </c>
      <c r="AE146" s="14" t="s">
        <v>33</v>
      </c>
      <c r="AF146" t="s">
        <v>33</v>
      </c>
      <c r="AG146" s="14" t="s">
        <v>33</v>
      </c>
      <c r="AH146" t="s">
        <v>33</v>
      </c>
      <c r="AI146" s="14" t="s">
        <v>33</v>
      </c>
      <c r="AJ146" t="s">
        <v>33</v>
      </c>
      <c r="AK146" s="14" t="s">
        <v>33</v>
      </c>
      <c r="AL146" t="s">
        <v>33</v>
      </c>
      <c r="AM146" s="14" t="s">
        <v>33</v>
      </c>
      <c r="AN146" t="s">
        <v>33</v>
      </c>
      <c r="AO146" s="14" t="s">
        <v>33</v>
      </c>
      <c r="AP146" t="s">
        <v>33</v>
      </c>
      <c r="AQ146" s="14" t="s">
        <v>33</v>
      </c>
      <c r="AR146" t="s">
        <v>33</v>
      </c>
      <c r="AS146" s="14" t="s">
        <v>33</v>
      </c>
      <c r="AT146" t="s">
        <v>33</v>
      </c>
      <c r="AU146" s="14" t="s">
        <v>33</v>
      </c>
      <c r="AV146" t="s">
        <v>33</v>
      </c>
      <c r="AW146" s="14" t="s">
        <v>33</v>
      </c>
      <c r="AX146" t="s">
        <v>33</v>
      </c>
      <c r="AY146" s="14" t="s">
        <v>33</v>
      </c>
      <c r="AZ146" t="s">
        <v>33</v>
      </c>
      <c r="BA146" s="14" t="s">
        <v>33</v>
      </c>
      <c r="BB146" t="s">
        <v>33</v>
      </c>
      <c r="BC146" s="14" t="s">
        <v>33</v>
      </c>
      <c r="BD146">
        <f t="shared" si="41"/>
        <v>35</v>
      </c>
      <c r="BE146">
        <f t="shared" si="42"/>
        <v>6774</v>
      </c>
      <c r="BF146">
        <f t="shared" si="43"/>
        <v>193.54285714285714</v>
      </c>
    </row>
    <row r="147" spans="1:59" x14ac:dyDescent="0.2">
      <c r="A147" t="s">
        <v>22</v>
      </c>
      <c r="B147" t="s">
        <v>6</v>
      </c>
      <c r="C147" t="s">
        <v>29</v>
      </c>
      <c r="D147" t="s">
        <v>33</v>
      </c>
      <c r="E147" s="14" t="s">
        <v>33</v>
      </c>
      <c r="F147" t="s">
        <v>33</v>
      </c>
      <c r="G147" s="14" t="s">
        <v>33</v>
      </c>
      <c r="H147">
        <v>0</v>
      </c>
      <c r="I147" s="14">
        <f t="shared" ref="I147:I156" si="45">H147*180</f>
        <v>0</v>
      </c>
      <c r="J147">
        <v>1</v>
      </c>
      <c r="K147" s="14">
        <f t="shared" si="33"/>
        <v>186</v>
      </c>
      <c r="L147">
        <v>14</v>
      </c>
      <c r="M147" s="14">
        <f t="shared" si="34"/>
        <v>2688</v>
      </c>
      <c r="N147">
        <v>12</v>
      </c>
      <c r="O147" s="14">
        <f t="shared" si="35"/>
        <v>2376</v>
      </c>
      <c r="P147" t="s">
        <v>33</v>
      </c>
      <c r="Q147" s="14" t="s">
        <v>33</v>
      </c>
      <c r="R147">
        <v>0</v>
      </c>
      <c r="S147" s="14">
        <f t="shared" si="37"/>
        <v>0</v>
      </c>
      <c r="T147" t="s">
        <v>33</v>
      </c>
      <c r="U147" s="14" t="s">
        <v>33</v>
      </c>
      <c r="V147" t="s">
        <v>33</v>
      </c>
      <c r="W147" s="14" t="s">
        <v>33</v>
      </c>
      <c r="X147" t="s">
        <v>33</v>
      </c>
      <c r="Y147" s="14" t="s">
        <v>33</v>
      </c>
      <c r="Z147" t="s">
        <v>33</v>
      </c>
      <c r="AA147" s="14" t="s">
        <v>33</v>
      </c>
      <c r="AB147" t="s">
        <v>33</v>
      </c>
      <c r="AC147" s="14" t="s">
        <v>33</v>
      </c>
      <c r="AD147" t="s">
        <v>33</v>
      </c>
      <c r="AE147" s="14" t="s">
        <v>33</v>
      </c>
      <c r="AF147" t="s">
        <v>33</v>
      </c>
      <c r="AG147" s="14" t="s">
        <v>33</v>
      </c>
      <c r="AH147" t="s">
        <v>33</v>
      </c>
      <c r="AI147" s="14" t="s">
        <v>33</v>
      </c>
      <c r="AJ147" t="s">
        <v>33</v>
      </c>
      <c r="AK147" s="14" t="s">
        <v>33</v>
      </c>
      <c r="AL147" t="s">
        <v>33</v>
      </c>
      <c r="AM147" s="14" t="s">
        <v>33</v>
      </c>
      <c r="AN147" t="s">
        <v>33</v>
      </c>
      <c r="AO147" s="14" t="s">
        <v>33</v>
      </c>
      <c r="AP147" t="s">
        <v>33</v>
      </c>
      <c r="AQ147" s="14" t="s">
        <v>33</v>
      </c>
      <c r="AR147" t="s">
        <v>33</v>
      </c>
      <c r="AS147" s="14" t="s">
        <v>33</v>
      </c>
      <c r="AT147" t="s">
        <v>33</v>
      </c>
      <c r="AU147" s="14" t="s">
        <v>33</v>
      </c>
      <c r="AV147" t="s">
        <v>33</v>
      </c>
      <c r="AW147" s="14" t="s">
        <v>33</v>
      </c>
      <c r="AX147" t="s">
        <v>33</v>
      </c>
      <c r="AY147" s="14" t="s">
        <v>33</v>
      </c>
      <c r="AZ147" t="s">
        <v>33</v>
      </c>
      <c r="BA147" s="14" t="s">
        <v>33</v>
      </c>
      <c r="BB147" t="s">
        <v>33</v>
      </c>
      <c r="BC147" s="14" t="s">
        <v>33</v>
      </c>
      <c r="BD147">
        <f t="shared" si="41"/>
        <v>27</v>
      </c>
      <c r="BE147">
        <f t="shared" si="42"/>
        <v>5250</v>
      </c>
      <c r="BF147">
        <f t="shared" si="43"/>
        <v>194.44444444444446</v>
      </c>
    </row>
    <row r="148" spans="1:59" x14ac:dyDescent="0.2">
      <c r="A148" t="s">
        <v>22</v>
      </c>
      <c r="B148" t="s">
        <v>6</v>
      </c>
      <c r="C148" t="s">
        <v>30</v>
      </c>
      <c r="D148" t="s">
        <v>33</v>
      </c>
      <c r="E148" s="14" t="s">
        <v>33</v>
      </c>
      <c r="F148" t="s">
        <v>33</v>
      </c>
      <c r="G148" s="14" t="s">
        <v>33</v>
      </c>
      <c r="H148">
        <v>1</v>
      </c>
      <c r="I148" s="14">
        <f t="shared" si="45"/>
        <v>180</v>
      </c>
      <c r="J148">
        <v>17</v>
      </c>
      <c r="K148" s="14">
        <f t="shared" si="33"/>
        <v>3162</v>
      </c>
      <c r="L148">
        <v>12</v>
      </c>
      <c r="M148" s="14">
        <f t="shared" si="34"/>
        <v>2304</v>
      </c>
      <c r="N148">
        <v>3</v>
      </c>
      <c r="O148" s="14">
        <f t="shared" si="35"/>
        <v>594</v>
      </c>
      <c r="P148" t="s">
        <v>33</v>
      </c>
      <c r="Q148" s="14" t="s">
        <v>33</v>
      </c>
      <c r="R148">
        <v>1</v>
      </c>
      <c r="S148" s="14">
        <f t="shared" si="37"/>
        <v>210</v>
      </c>
      <c r="T148" t="s">
        <v>33</v>
      </c>
      <c r="U148" s="14" t="s">
        <v>33</v>
      </c>
      <c r="V148" t="s">
        <v>33</v>
      </c>
      <c r="W148" s="14" t="s">
        <v>33</v>
      </c>
      <c r="X148" t="s">
        <v>33</v>
      </c>
      <c r="Y148" s="14" t="s">
        <v>33</v>
      </c>
      <c r="Z148" t="s">
        <v>33</v>
      </c>
      <c r="AA148" s="14" t="s">
        <v>33</v>
      </c>
      <c r="AB148" t="s">
        <v>33</v>
      </c>
      <c r="AC148" s="14" t="s">
        <v>33</v>
      </c>
      <c r="AD148" t="s">
        <v>33</v>
      </c>
      <c r="AE148" s="14" t="s">
        <v>33</v>
      </c>
      <c r="AF148" t="s">
        <v>33</v>
      </c>
      <c r="AG148" s="14" t="s">
        <v>33</v>
      </c>
      <c r="AH148" t="s">
        <v>33</v>
      </c>
      <c r="AI148" s="14" t="s">
        <v>33</v>
      </c>
      <c r="AJ148" t="s">
        <v>33</v>
      </c>
      <c r="AK148" s="14" t="s">
        <v>33</v>
      </c>
      <c r="AL148" t="s">
        <v>33</v>
      </c>
      <c r="AM148" s="14" t="s">
        <v>33</v>
      </c>
      <c r="AN148" t="s">
        <v>33</v>
      </c>
      <c r="AO148" s="14" t="s">
        <v>33</v>
      </c>
      <c r="AP148" t="s">
        <v>33</v>
      </c>
      <c r="AQ148" s="14" t="s">
        <v>33</v>
      </c>
      <c r="AR148" t="s">
        <v>33</v>
      </c>
      <c r="AS148" s="14" t="s">
        <v>33</v>
      </c>
      <c r="AT148" t="s">
        <v>33</v>
      </c>
      <c r="AU148" s="14" t="s">
        <v>33</v>
      </c>
      <c r="AV148" t="s">
        <v>33</v>
      </c>
      <c r="AW148" s="14" t="s">
        <v>33</v>
      </c>
      <c r="AX148" t="s">
        <v>33</v>
      </c>
      <c r="AY148" s="14" t="s">
        <v>33</v>
      </c>
      <c r="AZ148" t="s">
        <v>33</v>
      </c>
      <c r="BA148" s="14" t="s">
        <v>33</v>
      </c>
      <c r="BB148" t="s">
        <v>33</v>
      </c>
      <c r="BC148" s="14" t="s">
        <v>33</v>
      </c>
      <c r="BD148">
        <f t="shared" si="41"/>
        <v>34</v>
      </c>
      <c r="BE148">
        <f t="shared" si="42"/>
        <v>6450</v>
      </c>
      <c r="BF148">
        <f t="shared" si="43"/>
        <v>189.70588235294119</v>
      </c>
    </row>
    <row r="149" spans="1:59" x14ac:dyDescent="0.2">
      <c r="A149" t="s">
        <v>22</v>
      </c>
      <c r="B149" t="s">
        <v>7</v>
      </c>
      <c r="C149" t="s">
        <v>29</v>
      </c>
      <c r="D149" t="s">
        <v>33</v>
      </c>
      <c r="E149" s="14" t="s">
        <v>33</v>
      </c>
      <c r="F149" t="s">
        <v>33</v>
      </c>
      <c r="G149" s="14" t="s">
        <v>33</v>
      </c>
      <c r="H149">
        <v>0</v>
      </c>
      <c r="I149" s="14">
        <f t="shared" si="45"/>
        <v>0</v>
      </c>
      <c r="J149">
        <v>6</v>
      </c>
      <c r="K149" s="14">
        <f t="shared" si="33"/>
        <v>1116</v>
      </c>
      <c r="L149">
        <v>14</v>
      </c>
      <c r="M149" s="14">
        <f t="shared" si="34"/>
        <v>2688</v>
      </c>
      <c r="N149">
        <v>15</v>
      </c>
      <c r="O149" s="14">
        <f t="shared" si="35"/>
        <v>2970</v>
      </c>
      <c r="P149">
        <v>3</v>
      </c>
      <c r="Q149" s="14">
        <f t="shared" si="36"/>
        <v>612</v>
      </c>
      <c r="R149">
        <v>1</v>
      </c>
      <c r="S149" s="14">
        <f t="shared" si="37"/>
        <v>210</v>
      </c>
      <c r="T149" t="s">
        <v>33</v>
      </c>
      <c r="U149" s="14" t="s">
        <v>33</v>
      </c>
      <c r="V149" t="s">
        <v>33</v>
      </c>
      <c r="W149" s="14" t="s">
        <v>33</v>
      </c>
      <c r="X149">
        <v>2</v>
      </c>
      <c r="Y149" s="14">
        <f t="shared" si="40"/>
        <v>456</v>
      </c>
      <c r="Z149" t="s">
        <v>33</v>
      </c>
      <c r="AA149" s="14" t="s">
        <v>33</v>
      </c>
      <c r="AB149" t="s">
        <v>33</v>
      </c>
      <c r="AC149" s="14" t="s">
        <v>33</v>
      </c>
      <c r="AD149" t="s">
        <v>33</v>
      </c>
      <c r="AE149" s="14" t="s">
        <v>33</v>
      </c>
      <c r="AF149" t="s">
        <v>33</v>
      </c>
      <c r="AG149" s="14" t="s">
        <v>33</v>
      </c>
      <c r="AH149" t="s">
        <v>33</v>
      </c>
      <c r="AI149" s="14" t="s">
        <v>33</v>
      </c>
      <c r="AJ149" t="s">
        <v>33</v>
      </c>
      <c r="AK149" s="14" t="s">
        <v>33</v>
      </c>
      <c r="AL149" t="s">
        <v>33</v>
      </c>
      <c r="AM149" s="14" t="s">
        <v>33</v>
      </c>
      <c r="AN149" t="s">
        <v>33</v>
      </c>
      <c r="AO149" s="14" t="s">
        <v>33</v>
      </c>
      <c r="AP149" t="s">
        <v>33</v>
      </c>
      <c r="AQ149" s="14" t="s">
        <v>33</v>
      </c>
      <c r="AR149" t="s">
        <v>33</v>
      </c>
      <c r="AS149" s="14" t="s">
        <v>33</v>
      </c>
      <c r="AT149" t="s">
        <v>33</v>
      </c>
      <c r="AU149" s="14" t="s">
        <v>33</v>
      </c>
      <c r="AV149" t="s">
        <v>33</v>
      </c>
      <c r="AW149" s="14" t="s">
        <v>33</v>
      </c>
      <c r="AX149" t="s">
        <v>33</v>
      </c>
      <c r="AY149" s="14" t="s">
        <v>33</v>
      </c>
      <c r="AZ149" t="s">
        <v>33</v>
      </c>
      <c r="BA149" s="14" t="s">
        <v>33</v>
      </c>
      <c r="BB149" t="s">
        <v>33</v>
      </c>
      <c r="BC149" s="14" t="s">
        <v>33</v>
      </c>
      <c r="BD149">
        <f t="shared" si="41"/>
        <v>41</v>
      </c>
      <c r="BE149">
        <f t="shared" si="42"/>
        <v>8052</v>
      </c>
      <c r="BF149">
        <f t="shared" si="43"/>
        <v>196.39024390243901</v>
      </c>
      <c r="BG149" t="s">
        <v>50</v>
      </c>
    </row>
    <row r="150" spans="1:59" x14ac:dyDescent="0.2">
      <c r="A150" t="s">
        <v>22</v>
      </c>
      <c r="B150" t="s">
        <v>7</v>
      </c>
      <c r="C150" t="s">
        <v>30</v>
      </c>
      <c r="D150" t="s">
        <v>33</v>
      </c>
      <c r="E150" s="14" t="s">
        <v>33</v>
      </c>
      <c r="F150" t="s">
        <v>33</v>
      </c>
      <c r="G150" s="14" t="s">
        <v>33</v>
      </c>
      <c r="H150">
        <v>3</v>
      </c>
      <c r="I150" s="14">
        <f t="shared" si="45"/>
        <v>540</v>
      </c>
      <c r="J150">
        <v>9</v>
      </c>
      <c r="K150" s="14">
        <f t="shared" si="33"/>
        <v>1674</v>
      </c>
      <c r="L150">
        <v>16</v>
      </c>
      <c r="M150" s="14">
        <f t="shared" si="34"/>
        <v>3072</v>
      </c>
      <c r="N150">
        <v>5</v>
      </c>
      <c r="O150" s="14">
        <f t="shared" si="35"/>
        <v>990</v>
      </c>
      <c r="P150">
        <v>0</v>
      </c>
      <c r="Q150" s="14">
        <f t="shared" si="36"/>
        <v>0</v>
      </c>
      <c r="R150">
        <v>0</v>
      </c>
      <c r="S150" s="14">
        <f t="shared" si="37"/>
        <v>0</v>
      </c>
      <c r="T150" t="s">
        <v>33</v>
      </c>
      <c r="U150" s="14" t="s">
        <v>33</v>
      </c>
      <c r="V150" t="s">
        <v>33</v>
      </c>
      <c r="W150" s="14" t="s">
        <v>33</v>
      </c>
      <c r="X150">
        <v>1</v>
      </c>
      <c r="Y150" s="14">
        <f t="shared" si="40"/>
        <v>228</v>
      </c>
      <c r="Z150" t="s">
        <v>33</v>
      </c>
      <c r="AA150" s="14" t="s">
        <v>33</v>
      </c>
      <c r="AB150" t="s">
        <v>33</v>
      </c>
      <c r="AC150" s="14" t="s">
        <v>33</v>
      </c>
      <c r="AD150" t="s">
        <v>33</v>
      </c>
      <c r="AE150" s="14" t="s">
        <v>33</v>
      </c>
      <c r="AF150" t="s">
        <v>33</v>
      </c>
      <c r="AG150" s="14" t="s">
        <v>33</v>
      </c>
      <c r="AH150" t="s">
        <v>33</v>
      </c>
      <c r="AI150" s="14" t="s">
        <v>33</v>
      </c>
      <c r="AJ150" t="s">
        <v>33</v>
      </c>
      <c r="AK150" s="14" t="s">
        <v>33</v>
      </c>
      <c r="AL150" t="s">
        <v>33</v>
      </c>
      <c r="AM150" s="14" t="s">
        <v>33</v>
      </c>
      <c r="AN150" t="s">
        <v>33</v>
      </c>
      <c r="AO150" s="14" t="s">
        <v>33</v>
      </c>
      <c r="AP150" t="s">
        <v>33</v>
      </c>
      <c r="AQ150" s="14" t="s">
        <v>33</v>
      </c>
      <c r="AR150" t="s">
        <v>33</v>
      </c>
      <c r="AS150" s="14" t="s">
        <v>33</v>
      </c>
      <c r="AT150" t="s">
        <v>33</v>
      </c>
      <c r="AU150" s="14" t="s">
        <v>33</v>
      </c>
      <c r="AV150" t="s">
        <v>33</v>
      </c>
      <c r="AW150" s="14" t="s">
        <v>33</v>
      </c>
      <c r="AX150" t="s">
        <v>33</v>
      </c>
      <c r="AY150" s="14" t="s">
        <v>33</v>
      </c>
      <c r="AZ150" t="s">
        <v>33</v>
      </c>
      <c r="BA150" s="14" t="s">
        <v>33</v>
      </c>
      <c r="BB150" t="s">
        <v>33</v>
      </c>
      <c r="BC150" s="14" t="s">
        <v>33</v>
      </c>
      <c r="BD150">
        <f t="shared" si="41"/>
        <v>34</v>
      </c>
      <c r="BE150">
        <f t="shared" si="42"/>
        <v>6504</v>
      </c>
      <c r="BF150">
        <f t="shared" si="43"/>
        <v>191.29411764705881</v>
      </c>
    </row>
    <row r="151" spans="1:59" x14ac:dyDescent="0.2">
      <c r="A151" t="s">
        <v>22</v>
      </c>
      <c r="B151" t="s">
        <v>8</v>
      </c>
      <c r="C151" t="s">
        <v>29</v>
      </c>
      <c r="D151" t="s">
        <v>33</v>
      </c>
      <c r="E151" s="14" t="s">
        <v>33</v>
      </c>
      <c r="F151" t="s">
        <v>33</v>
      </c>
      <c r="G151" s="14" t="s">
        <v>33</v>
      </c>
      <c r="H151">
        <v>0</v>
      </c>
      <c r="I151" s="14">
        <f t="shared" si="45"/>
        <v>0</v>
      </c>
      <c r="J151">
        <v>8</v>
      </c>
      <c r="K151" s="14">
        <f t="shared" si="33"/>
        <v>1488</v>
      </c>
      <c r="L151">
        <v>17</v>
      </c>
      <c r="M151" s="14">
        <f t="shared" si="34"/>
        <v>3264</v>
      </c>
      <c r="N151">
        <v>7</v>
      </c>
      <c r="O151" s="14">
        <f t="shared" si="35"/>
        <v>1386</v>
      </c>
      <c r="P151">
        <v>2</v>
      </c>
      <c r="Q151" s="14">
        <f t="shared" si="36"/>
        <v>408</v>
      </c>
      <c r="R151" t="s">
        <v>33</v>
      </c>
      <c r="S151" s="14" t="s">
        <v>33</v>
      </c>
      <c r="T151" t="s">
        <v>33</v>
      </c>
      <c r="U151" s="14" t="s">
        <v>33</v>
      </c>
      <c r="V151" t="s">
        <v>33</v>
      </c>
      <c r="W151" s="14" t="s">
        <v>33</v>
      </c>
      <c r="X151" t="s">
        <v>33</v>
      </c>
      <c r="Y151" s="14" t="s">
        <v>33</v>
      </c>
      <c r="Z151" t="s">
        <v>33</v>
      </c>
      <c r="AA151" s="14" t="s">
        <v>33</v>
      </c>
      <c r="AB151" t="s">
        <v>33</v>
      </c>
      <c r="AC151" s="14" t="s">
        <v>33</v>
      </c>
      <c r="AD151" t="s">
        <v>33</v>
      </c>
      <c r="AE151" s="14" t="s">
        <v>33</v>
      </c>
      <c r="AF151">
        <v>1</v>
      </c>
      <c r="AG151" s="14">
        <f>AF151*252</f>
        <v>252</v>
      </c>
      <c r="AH151" t="s">
        <v>33</v>
      </c>
      <c r="AI151" s="14" t="s">
        <v>33</v>
      </c>
      <c r="AJ151" t="s">
        <v>33</v>
      </c>
      <c r="AK151" s="14" t="s">
        <v>33</v>
      </c>
      <c r="AL151" t="s">
        <v>33</v>
      </c>
      <c r="AM151" s="14" t="s">
        <v>33</v>
      </c>
      <c r="AN151" t="s">
        <v>33</v>
      </c>
      <c r="AO151" s="14" t="s">
        <v>33</v>
      </c>
      <c r="AP151" t="s">
        <v>33</v>
      </c>
      <c r="AQ151" s="14" t="s">
        <v>33</v>
      </c>
      <c r="AR151" t="s">
        <v>33</v>
      </c>
      <c r="AS151" s="14" t="s">
        <v>33</v>
      </c>
      <c r="AT151" t="s">
        <v>33</v>
      </c>
      <c r="AU151" s="14" t="s">
        <v>33</v>
      </c>
      <c r="AV151" t="s">
        <v>33</v>
      </c>
      <c r="AW151" s="14" t="s">
        <v>33</v>
      </c>
      <c r="AX151" t="s">
        <v>33</v>
      </c>
      <c r="AY151" s="14" t="s">
        <v>33</v>
      </c>
      <c r="AZ151" t="s">
        <v>33</v>
      </c>
      <c r="BA151" s="14" t="s">
        <v>33</v>
      </c>
      <c r="BB151" t="s">
        <v>33</v>
      </c>
      <c r="BC151" s="14" t="s">
        <v>33</v>
      </c>
      <c r="BD151">
        <f t="shared" si="41"/>
        <v>35</v>
      </c>
      <c r="BE151">
        <f t="shared" si="42"/>
        <v>6798</v>
      </c>
      <c r="BF151">
        <f t="shared" si="43"/>
        <v>194.22857142857143</v>
      </c>
    </row>
    <row r="152" spans="1:59" x14ac:dyDescent="0.2">
      <c r="A152" t="s">
        <v>22</v>
      </c>
      <c r="B152" t="s">
        <v>8</v>
      </c>
      <c r="C152" t="s">
        <v>30</v>
      </c>
      <c r="D152" t="s">
        <v>33</v>
      </c>
      <c r="E152" s="14" t="s">
        <v>33</v>
      </c>
      <c r="F152" t="s">
        <v>33</v>
      </c>
      <c r="G152" s="14" t="s">
        <v>33</v>
      </c>
      <c r="H152">
        <v>1</v>
      </c>
      <c r="I152" s="14">
        <f t="shared" si="45"/>
        <v>180</v>
      </c>
      <c r="J152">
        <v>18</v>
      </c>
      <c r="K152" s="14">
        <f t="shared" si="33"/>
        <v>3348</v>
      </c>
      <c r="L152">
        <v>15</v>
      </c>
      <c r="M152" s="14">
        <f t="shared" si="34"/>
        <v>2880</v>
      </c>
      <c r="N152">
        <v>2</v>
      </c>
      <c r="O152" s="14">
        <f t="shared" si="35"/>
        <v>396</v>
      </c>
      <c r="P152">
        <v>0</v>
      </c>
      <c r="Q152" s="14">
        <f t="shared" si="36"/>
        <v>0</v>
      </c>
      <c r="R152" t="s">
        <v>33</v>
      </c>
      <c r="S152" s="14" t="s">
        <v>33</v>
      </c>
      <c r="T152" t="s">
        <v>33</v>
      </c>
      <c r="U152" s="14" t="s">
        <v>33</v>
      </c>
      <c r="V152" t="s">
        <v>33</v>
      </c>
      <c r="W152" s="14" t="s">
        <v>33</v>
      </c>
      <c r="X152" t="s">
        <v>33</v>
      </c>
      <c r="Y152" s="14" t="s">
        <v>33</v>
      </c>
      <c r="Z152" t="s">
        <v>33</v>
      </c>
      <c r="AA152" s="14" t="s">
        <v>33</v>
      </c>
      <c r="AB152" t="s">
        <v>33</v>
      </c>
      <c r="AC152" s="14" t="s">
        <v>33</v>
      </c>
      <c r="AD152" t="s">
        <v>33</v>
      </c>
      <c r="AE152" s="14" t="s">
        <v>33</v>
      </c>
      <c r="AF152">
        <v>1</v>
      </c>
      <c r="AG152" s="14">
        <f>AF152*252</f>
        <v>252</v>
      </c>
      <c r="AH152" t="s">
        <v>33</v>
      </c>
      <c r="AI152" s="14" t="s">
        <v>33</v>
      </c>
      <c r="AJ152" t="s">
        <v>33</v>
      </c>
      <c r="AK152" s="14" t="s">
        <v>33</v>
      </c>
      <c r="AL152" t="s">
        <v>33</v>
      </c>
      <c r="AM152" s="14" t="s">
        <v>33</v>
      </c>
      <c r="AN152" t="s">
        <v>33</v>
      </c>
      <c r="AO152" s="14" t="s">
        <v>33</v>
      </c>
      <c r="AP152" t="s">
        <v>33</v>
      </c>
      <c r="AQ152" s="14" t="s">
        <v>33</v>
      </c>
      <c r="AR152" t="s">
        <v>33</v>
      </c>
      <c r="AS152" s="14" t="s">
        <v>33</v>
      </c>
      <c r="AT152" t="s">
        <v>33</v>
      </c>
      <c r="AU152" s="14" t="s">
        <v>33</v>
      </c>
      <c r="AV152" t="s">
        <v>33</v>
      </c>
      <c r="AW152" s="14" t="s">
        <v>33</v>
      </c>
      <c r="AX152" t="s">
        <v>33</v>
      </c>
      <c r="AY152" s="14" t="s">
        <v>33</v>
      </c>
      <c r="AZ152" t="s">
        <v>33</v>
      </c>
      <c r="BA152" s="14" t="s">
        <v>33</v>
      </c>
      <c r="BB152" t="s">
        <v>33</v>
      </c>
      <c r="BC152" s="14" t="s">
        <v>33</v>
      </c>
      <c r="BD152">
        <f t="shared" si="41"/>
        <v>37</v>
      </c>
      <c r="BE152">
        <f t="shared" si="42"/>
        <v>7056</v>
      </c>
      <c r="BF152">
        <f t="shared" si="43"/>
        <v>190.70270270270271</v>
      </c>
    </row>
    <row r="153" spans="1:59" x14ac:dyDescent="0.2">
      <c r="A153" t="s">
        <v>23</v>
      </c>
      <c r="B153" t="s">
        <v>4</v>
      </c>
      <c r="C153" t="s">
        <v>29</v>
      </c>
      <c r="D153" t="s">
        <v>33</v>
      </c>
      <c r="E153" s="14" t="s">
        <v>33</v>
      </c>
      <c r="F153" t="s">
        <v>33</v>
      </c>
      <c r="G153" s="14" t="s">
        <v>33</v>
      </c>
      <c r="H153">
        <v>0</v>
      </c>
      <c r="I153" s="14">
        <f t="shared" si="45"/>
        <v>0</v>
      </c>
      <c r="J153">
        <v>0</v>
      </c>
      <c r="K153" s="14">
        <f t="shared" si="33"/>
        <v>0</v>
      </c>
      <c r="L153">
        <v>2</v>
      </c>
      <c r="M153" s="14">
        <f t="shared" si="34"/>
        <v>384</v>
      </c>
      <c r="N153">
        <v>13</v>
      </c>
      <c r="O153" s="14">
        <f t="shared" si="35"/>
        <v>2574</v>
      </c>
      <c r="P153">
        <v>13</v>
      </c>
      <c r="Q153" s="14">
        <f t="shared" si="36"/>
        <v>2652</v>
      </c>
      <c r="R153">
        <v>16</v>
      </c>
      <c r="S153" s="14">
        <f t="shared" si="37"/>
        <v>3360</v>
      </c>
      <c r="T153">
        <v>5</v>
      </c>
      <c r="U153" s="14">
        <f t="shared" si="38"/>
        <v>1080</v>
      </c>
      <c r="V153" t="s">
        <v>33</v>
      </c>
      <c r="W153" s="14" t="s">
        <v>33</v>
      </c>
      <c r="X153">
        <v>1</v>
      </c>
      <c r="Y153" s="14">
        <f t="shared" si="40"/>
        <v>228</v>
      </c>
      <c r="Z153" t="s">
        <v>33</v>
      </c>
      <c r="AA153" s="14" t="s">
        <v>33</v>
      </c>
      <c r="AB153" t="s">
        <v>33</v>
      </c>
      <c r="AC153" s="14" t="s">
        <v>33</v>
      </c>
      <c r="AD153" t="s">
        <v>33</v>
      </c>
      <c r="AE153" s="14" t="s">
        <v>33</v>
      </c>
      <c r="AF153" t="s">
        <v>33</v>
      </c>
      <c r="AG153" s="14" t="s">
        <v>33</v>
      </c>
      <c r="AH153" t="s">
        <v>33</v>
      </c>
      <c r="AI153" s="14" t="s">
        <v>33</v>
      </c>
      <c r="AJ153" t="s">
        <v>33</v>
      </c>
      <c r="AK153" s="14" t="s">
        <v>33</v>
      </c>
      <c r="AL153" t="s">
        <v>33</v>
      </c>
      <c r="AM153" s="14" t="s">
        <v>33</v>
      </c>
      <c r="AN153" t="s">
        <v>33</v>
      </c>
      <c r="AO153" s="14" t="s">
        <v>33</v>
      </c>
      <c r="AP153" t="s">
        <v>33</v>
      </c>
      <c r="AQ153" s="14" t="s">
        <v>33</v>
      </c>
      <c r="AR153" t="s">
        <v>33</v>
      </c>
      <c r="AS153" s="14" t="s">
        <v>33</v>
      </c>
      <c r="AT153" t="s">
        <v>33</v>
      </c>
      <c r="AU153" s="14" t="s">
        <v>33</v>
      </c>
      <c r="AV153" t="s">
        <v>33</v>
      </c>
      <c r="AW153" s="14" t="s">
        <v>33</v>
      </c>
      <c r="AX153" t="s">
        <v>33</v>
      </c>
      <c r="AY153" s="14" t="s">
        <v>33</v>
      </c>
      <c r="AZ153" t="s">
        <v>33</v>
      </c>
      <c r="BA153" s="14" t="s">
        <v>33</v>
      </c>
      <c r="BB153" t="s">
        <v>33</v>
      </c>
      <c r="BC153" s="14" t="s">
        <v>33</v>
      </c>
      <c r="BD153">
        <f t="shared" si="41"/>
        <v>50</v>
      </c>
      <c r="BE153">
        <f t="shared" si="42"/>
        <v>10278</v>
      </c>
      <c r="BF153">
        <f t="shared" si="43"/>
        <v>205.56</v>
      </c>
    </row>
    <row r="154" spans="1:59" x14ac:dyDescent="0.2">
      <c r="A154" t="s">
        <v>23</v>
      </c>
      <c r="B154" t="s">
        <v>4</v>
      </c>
      <c r="C154" t="s">
        <v>30</v>
      </c>
      <c r="D154" t="s">
        <v>33</v>
      </c>
      <c r="E154" s="14" t="s">
        <v>33</v>
      </c>
      <c r="F154" t="s">
        <v>33</v>
      </c>
      <c r="G154" s="14" t="s">
        <v>33</v>
      </c>
      <c r="H154">
        <v>1</v>
      </c>
      <c r="I154" s="14">
        <f t="shared" si="45"/>
        <v>180</v>
      </c>
      <c r="J154">
        <v>2</v>
      </c>
      <c r="K154" s="14">
        <f t="shared" si="33"/>
        <v>372</v>
      </c>
      <c r="L154">
        <v>9</v>
      </c>
      <c r="M154" s="14">
        <f t="shared" si="34"/>
        <v>1728</v>
      </c>
      <c r="N154">
        <v>15</v>
      </c>
      <c r="O154" s="14">
        <f t="shared" si="35"/>
        <v>2970</v>
      </c>
      <c r="P154">
        <v>7</v>
      </c>
      <c r="Q154" s="14">
        <f t="shared" si="36"/>
        <v>1428</v>
      </c>
      <c r="R154">
        <v>4</v>
      </c>
      <c r="S154" s="14">
        <f t="shared" si="37"/>
        <v>840</v>
      </c>
      <c r="T154">
        <v>2</v>
      </c>
      <c r="U154" s="14">
        <f t="shared" si="38"/>
        <v>432</v>
      </c>
      <c r="V154" t="s">
        <v>33</v>
      </c>
      <c r="W154" s="14" t="s">
        <v>33</v>
      </c>
      <c r="X154">
        <v>1</v>
      </c>
      <c r="Y154" s="14">
        <f t="shared" si="40"/>
        <v>228</v>
      </c>
      <c r="Z154" t="s">
        <v>33</v>
      </c>
      <c r="AA154" s="14" t="s">
        <v>33</v>
      </c>
      <c r="AB154" t="s">
        <v>33</v>
      </c>
      <c r="AC154" s="14" t="s">
        <v>33</v>
      </c>
      <c r="AD154" t="s">
        <v>33</v>
      </c>
      <c r="AE154" s="14" t="s">
        <v>33</v>
      </c>
      <c r="AF154" t="s">
        <v>33</v>
      </c>
      <c r="AG154" s="14" t="s">
        <v>33</v>
      </c>
      <c r="AH154" t="s">
        <v>33</v>
      </c>
      <c r="AI154" s="14" t="s">
        <v>33</v>
      </c>
      <c r="AJ154" t="s">
        <v>33</v>
      </c>
      <c r="AK154" s="14" t="s">
        <v>33</v>
      </c>
      <c r="AL154" t="s">
        <v>33</v>
      </c>
      <c r="AM154" s="14" t="s">
        <v>33</v>
      </c>
      <c r="AN154" t="s">
        <v>33</v>
      </c>
      <c r="AO154" s="14" t="s">
        <v>33</v>
      </c>
      <c r="AP154" t="s">
        <v>33</v>
      </c>
      <c r="AQ154" s="14" t="s">
        <v>33</v>
      </c>
      <c r="AR154" t="s">
        <v>33</v>
      </c>
      <c r="AS154" s="14" t="s">
        <v>33</v>
      </c>
      <c r="AT154" t="s">
        <v>33</v>
      </c>
      <c r="AU154" s="14" t="s">
        <v>33</v>
      </c>
      <c r="AV154" t="s">
        <v>33</v>
      </c>
      <c r="AW154" s="14" t="s">
        <v>33</v>
      </c>
      <c r="AX154" t="s">
        <v>33</v>
      </c>
      <c r="AY154" s="14" t="s">
        <v>33</v>
      </c>
      <c r="AZ154" t="s">
        <v>33</v>
      </c>
      <c r="BA154" s="14" t="s">
        <v>33</v>
      </c>
      <c r="BB154" t="s">
        <v>33</v>
      </c>
      <c r="BC154" s="14" t="s">
        <v>33</v>
      </c>
      <c r="BD154">
        <f t="shared" si="41"/>
        <v>41</v>
      </c>
      <c r="BE154">
        <f t="shared" si="42"/>
        <v>8178</v>
      </c>
      <c r="BF154">
        <f t="shared" si="43"/>
        <v>199.46341463414635</v>
      </c>
    </row>
    <row r="155" spans="1:59" x14ac:dyDescent="0.2">
      <c r="A155" t="s">
        <v>23</v>
      </c>
      <c r="B155" t="s">
        <v>5</v>
      </c>
      <c r="C155" t="s">
        <v>29</v>
      </c>
      <c r="D155" t="s">
        <v>33</v>
      </c>
      <c r="E155" s="14" t="s">
        <v>33</v>
      </c>
      <c r="F155" t="s">
        <v>33</v>
      </c>
      <c r="G155" s="14" t="s">
        <v>33</v>
      </c>
      <c r="H155">
        <v>0</v>
      </c>
      <c r="I155" s="14">
        <f t="shared" si="45"/>
        <v>0</v>
      </c>
      <c r="J155" t="s">
        <v>33</v>
      </c>
      <c r="K155" s="14" t="s">
        <v>33</v>
      </c>
      <c r="L155">
        <v>2</v>
      </c>
      <c r="M155" s="14">
        <f t="shared" si="34"/>
        <v>384</v>
      </c>
      <c r="N155">
        <v>5</v>
      </c>
      <c r="O155" s="14">
        <f t="shared" si="35"/>
        <v>990</v>
      </c>
      <c r="P155">
        <v>8</v>
      </c>
      <c r="Q155" s="14">
        <f t="shared" si="36"/>
        <v>1632</v>
      </c>
      <c r="R155">
        <v>18</v>
      </c>
      <c r="S155" s="14">
        <f t="shared" si="37"/>
        <v>3780</v>
      </c>
      <c r="T155">
        <v>6</v>
      </c>
      <c r="U155" s="14">
        <f t="shared" si="38"/>
        <v>1296</v>
      </c>
      <c r="V155">
        <v>6</v>
      </c>
      <c r="W155" s="14">
        <f t="shared" si="39"/>
        <v>1332</v>
      </c>
      <c r="X155">
        <v>1</v>
      </c>
      <c r="Y155" s="14">
        <f t="shared" si="40"/>
        <v>228</v>
      </c>
      <c r="Z155">
        <v>0</v>
      </c>
      <c r="AA155" s="14">
        <f>Z155*234</f>
        <v>0</v>
      </c>
      <c r="AB155">
        <v>1</v>
      </c>
      <c r="AC155" s="14">
        <f>AB155*240</f>
        <v>240</v>
      </c>
      <c r="AD155" t="s">
        <v>33</v>
      </c>
      <c r="AE155" s="14" t="s">
        <v>33</v>
      </c>
      <c r="AF155" t="s">
        <v>33</v>
      </c>
      <c r="AG155" s="14" t="s">
        <v>33</v>
      </c>
      <c r="AH155" t="s">
        <v>33</v>
      </c>
      <c r="AI155" s="14" t="s">
        <v>33</v>
      </c>
      <c r="AJ155" t="s">
        <v>33</v>
      </c>
      <c r="AK155" s="14" t="s">
        <v>33</v>
      </c>
      <c r="AL155" t="s">
        <v>33</v>
      </c>
      <c r="AM155" s="14" t="s">
        <v>33</v>
      </c>
      <c r="AN155" t="s">
        <v>33</v>
      </c>
      <c r="AO155" s="14" t="s">
        <v>33</v>
      </c>
      <c r="AP155" t="s">
        <v>33</v>
      </c>
      <c r="AQ155" s="14" t="s">
        <v>33</v>
      </c>
      <c r="AR155" t="s">
        <v>33</v>
      </c>
      <c r="AS155" s="14" t="s">
        <v>33</v>
      </c>
      <c r="AT155" t="s">
        <v>33</v>
      </c>
      <c r="AU155" s="14" t="s">
        <v>33</v>
      </c>
      <c r="AV155" t="s">
        <v>33</v>
      </c>
      <c r="AW155" s="14" t="s">
        <v>33</v>
      </c>
      <c r="AX155" t="s">
        <v>33</v>
      </c>
      <c r="AY155" s="14" t="s">
        <v>33</v>
      </c>
      <c r="AZ155" t="s">
        <v>33</v>
      </c>
      <c r="BA155" s="14" t="s">
        <v>33</v>
      </c>
      <c r="BB155" t="s">
        <v>33</v>
      </c>
      <c r="BC155" s="14" t="s">
        <v>33</v>
      </c>
      <c r="BD155">
        <f t="shared" si="41"/>
        <v>47</v>
      </c>
      <c r="BE155">
        <f t="shared" si="42"/>
        <v>9882</v>
      </c>
      <c r="BF155">
        <f t="shared" si="43"/>
        <v>210.25531914893617</v>
      </c>
    </row>
    <row r="156" spans="1:59" x14ac:dyDescent="0.2">
      <c r="A156" t="s">
        <v>23</v>
      </c>
      <c r="B156" t="s">
        <v>5</v>
      </c>
      <c r="C156" t="s">
        <v>30</v>
      </c>
      <c r="D156" t="s">
        <v>33</v>
      </c>
      <c r="E156" s="14" t="s">
        <v>33</v>
      </c>
      <c r="F156" t="s">
        <v>33</v>
      </c>
      <c r="G156" s="14" t="s">
        <v>33</v>
      </c>
      <c r="H156">
        <v>1</v>
      </c>
      <c r="I156" s="14">
        <f t="shared" si="45"/>
        <v>180</v>
      </c>
      <c r="J156" t="s">
        <v>33</v>
      </c>
      <c r="K156" s="14" t="s">
        <v>33</v>
      </c>
      <c r="L156">
        <v>7</v>
      </c>
      <c r="M156" s="14">
        <f t="shared" si="34"/>
        <v>1344</v>
      </c>
      <c r="N156">
        <v>16</v>
      </c>
      <c r="O156" s="14">
        <f t="shared" si="35"/>
        <v>3168</v>
      </c>
      <c r="P156">
        <v>11</v>
      </c>
      <c r="Q156" s="14">
        <f t="shared" si="36"/>
        <v>2244</v>
      </c>
      <c r="R156">
        <v>12</v>
      </c>
      <c r="S156" s="14">
        <f t="shared" si="37"/>
        <v>2520</v>
      </c>
      <c r="T156">
        <v>7</v>
      </c>
      <c r="U156" s="14">
        <f t="shared" si="38"/>
        <v>1512</v>
      </c>
      <c r="V156">
        <v>6</v>
      </c>
      <c r="W156" s="14">
        <f t="shared" si="39"/>
        <v>1332</v>
      </c>
      <c r="X156">
        <v>0</v>
      </c>
      <c r="Y156" s="14">
        <f t="shared" si="40"/>
        <v>0</v>
      </c>
      <c r="Z156">
        <v>1</v>
      </c>
      <c r="AA156" s="14">
        <f>Z156*234</f>
        <v>234</v>
      </c>
      <c r="AB156">
        <v>0</v>
      </c>
      <c r="AC156" s="14">
        <f>AB156*240</f>
        <v>0</v>
      </c>
      <c r="AD156" t="s">
        <v>33</v>
      </c>
      <c r="AE156" s="14" t="s">
        <v>33</v>
      </c>
      <c r="AF156" t="s">
        <v>33</v>
      </c>
      <c r="AG156" s="14" t="s">
        <v>33</v>
      </c>
      <c r="AH156" t="s">
        <v>33</v>
      </c>
      <c r="AI156" s="14" t="s">
        <v>33</v>
      </c>
      <c r="AJ156" t="s">
        <v>33</v>
      </c>
      <c r="AK156" s="14" t="s">
        <v>33</v>
      </c>
      <c r="AL156" t="s">
        <v>33</v>
      </c>
      <c r="AM156" s="14" t="s">
        <v>33</v>
      </c>
      <c r="AN156" t="s">
        <v>33</v>
      </c>
      <c r="AO156" s="14" t="s">
        <v>33</v>
      </c>
      <c r="AP156" t="s">
        <v>33</v>
      </c>
      <c r="AQ156" s="14" t="s">
        <v>33</v>
      </c>
      <c r="AR156" t="s">
        <v>33</v>
      </c>
      <c r="AS156" s="14" t="s">
        <v>33</v>
      </c>
      <c r="AT156" t="s">
        <v>33</v>
      </c>
      <c r="AU156" s="14" t="s">
        <v>33</v>
      </c>
      <c r="AV156" t="s">
        <v>33</v>
      </c>
      <c r="AW156" s="14" t="s">
        <v>33</v>
      </c>
      <c r="AX156" t="s">
        <v>33</v>
      </c>
      <c r="AY156" s="14" t="s">
        <v>33</v>
      </c>
      <c r="AZ156" t="s">
        <v>33</v>
      </c>
      <c r="BA156" s="14" t="s">
        <v>33</v>
      </c>
      <c r="BB156" t="s">
        <v>33</v>
      </c>
      <c r="BC156" s="14" t="s">
        <v>33</v>
      </c>
      <c r="BD156">
        <f t="shared" si="41"/>
        <v>61</v>
      </c>
      <c r="BE156">
        <f t="shared" si="42"/>
        <v>12534</v>
      </c>
      <c r="BF156">
        <f t="shared" si="43"/>
        <v>205.47540983606558</v>
      </c>
    </row>
    <row r="157" spans="1:59" x14ac:dyDescent="0.2">
      <c r="A157" t="s">
        <v>23</v>
      </c>
      <c r="B157" t="s">
        <v>6</v>
      </c>
      <c r="C157" t="s">
        <v>29</v>
      </c>
      <c r="D157" t="s">
        <v>33</v>
      </c>
      <c r="E157" s="14" t="s">
        <v>33</v>
      </c>
      <c r="F157" t="s">
        <v>33</v>
      </c>
      <c r="G157" s="14" t="s">
        <v>33</v>
      </c>
      <c r="H157" t="s">
        <v>33</v>
      </c>
      <c r="I157" s="14" t="s">
        <v>33</v>
      </c>
      <c r="J157">
        <v>0</v>
      </c>
      <c r="K157" s="14">
        <f t="shared" si="33"/>
        <v>0</v>
      </c>
      <c r="L157">
        <v>3</v>
      </c>
      <c r="M157" s="14">
        <f t="shared" si="34"/>
        <v>576</v>
      </c>
      <c r="N157">
        <v>10</v>
      </c>
      <c r="O157" s="14">
        <f t="shared" si="35"/>
        <v>1980</v>
      </c>
      <c r="P157">
        <v>18</v>
      </c>
      <c r="Q157" s="14">
        <f t="shared" si="36"/>
        <v>3672</v>
      </c>
      <c r="R157">
        <v>12</v>
      </c>
      <c r="S157" s="14">
        <f t="shared" si="37"/>
        <v>2520</v>
      </c>
      <c r="T157">
        <v>3</v>
      </c>
      <c r="U157" s="14">
        <f t="shared" si="38"/>
        <v>648</v>
      </c>
      <c r="V157" t="s">
        <v>33</v>
      </c>
      <c r="W157" s="14" t="s">
        <v>33</v>
      </c>
      <c r="X157">
        <v>2</v>
      </c>
      <c r="Y157" s="14">
        <f t="shared" si="40"/>
        <v>456</v>
      </c>
      <c r="Z157" t="s">
        <v>33</v>
      </c>
      <c r="AA157" s="14" t="s">
        <v>33</v>
      </c>
      <c r="AB157" t="s">
        <v>33</v>
      </c>
      <c r="AC157" s="14" t="s">
        <v>33</v>
      </c>
      <c r="AD157">
        <v>1</v>
      </c>
      <c r="AE157" s="14">
        <f>AD157*246</f>
        <v>246</v>
      </c>
      <c r="AF157" t="s">
        <v>33</v>
      </c>
      <c r="AG157" s="14" t="s">
        <v>33</v>
      </c>
      <c r="AH157" t="s">
        <v>33</v>
      </c>
      <c r="AI157" s="14" t="s">
        <v>33</v>
      </c>
      <c r="AJ157" t="s">
        <v>33</v>
      </c>
      <c r="AK157" s="14" t="s">
        <v>33</v>
      </c>
      <c r="AL157" t="s">
        <v>33</v>
      </c>
      <c r="AM157" s="14" t="s">
        <v>33</v>
      </c>
      <c r="AN157" t="s">
        <v>33</v>
      </c>
      <c r="AO157" s="14" t="s">
        <v>33</v>
      </c>
      <c r="AP157" t="s">
        <v>33</v>
      </c>
      <c r="AQ157" s="14" t="s">
        <v>33</v>
      </c>
      <c r="AR157" t="s">
        <v>33</v>
      </c>
      <c r="AS157" s="14" t="s">
        <v>33</v>
      </c>
      <c r="AT157" t="s">
        <v>33</v>
      </c>
      <c r="AU157" s="14" t="s">
        <v>33</v>
      </c>
      <c r="AV157" t="s">
        <v>33</v>
      </c>
      <c r="AW157" s="14" t="s">
        <v>33</v>
      </c>
      <c r="AX157" t="s">
        <v>33</v>
      </c>
      <c r="AY157" s="14" t="s">
        <v>33</v>
      </c>
      <c r="AZ157" t="s">
        <v>33</v>
      </c>
      <c r="BA157" s="14" t="s">
        <v>33</v>
      </c>
      <c r="BB157" t="s">
        <v>33</v>
      </c>
      <c r="BC157" s="14" t="s">
        <v>33</v>
      </c>
      <c r="BD157">
        <f t="shared" si="41"/>
        <v>49</v>
      </c>
      <c r="BE157">
        <f t="shared" si="42"/>
        <v>10098</v>
      </c>
      <c r="BF157">
        <f t="shared" si="43"/>
        <v>206.08163265306123</v>
      </c>
    </row>
    <row r="158" spans="1:59" x14ac:dyDescent="0.2">
      <c r="A158" t="s">
        <v>23</v>
      </c>
      <c r="B158" t="s">
        <v>6</v>
      </c>
      <c r="C158" t="s">
        <v>30</v>
      </c>
      <c r="D158" t="s">
        <v>33</v>
      </c>
      <c r="E158" s="14" t="s">
        <v>33</v>
      </c>
      <c r="F158" t="s">
        <v>33</v>
      </c>
      <c r="G158" s="14" t="s">
        <v>33</v>
      </c>
      <c r="H158" t="s">
        <v>33</v>
      </c>
      <c r="I158" s="14" t="s">
        <v>33</v>
      </c>
      <c r="J158">
        <v>1</v>
      </c>
      <c r="K158" s="14">
        <f t="shared" si="33"/>
        <v>186</v>
      </c>
      <c r="L158">
        <v>7</v>
      </c>
      <c r="M158" s="14">
        <f t="shared" si="34"/>
        <v>1344</v>
      </c>
      <c r="N158">
        <v>16</v>
      </c>
      <c r="O158" s="14">
        <f t="shared" si="35"/>
        <v>3168</v>
      </c>
      <c r="P158">
        <v>9</v>
      </c>
      <c r="Q158" s="14">
        <f t="shared" si="36"/>
        <v>1836</v>
      </c>
      <c r="R158">
        <v>16</v>
      </c>
      <c r="S158" s="14">
        <f t="shared" si="37"/>
        <v>3360</v>
      </c>
      <c r="T158">
        <v>3</v>
      </c>
      <c r="U158" s="14">
        <f t="shared" si="38"/>
        <v>648</v>
      </c>
      <c r="V158" t="s">
        <v>33</v>
      </c>
      <c r="W158" s="14" t="s">
        <v>33</v>
      </c>
      <c r="X158">
        <v>4</v>
      </c>
      <c r="Y158" s="14">
        <f t="shared" si="40"/>
        <v>912</v>
      </c>
      <c r="Z158" t="s">
        <v>33</v>
      </c>
      <c r="AA158" s="14" t="s">
        <v>33</v>
      </c>
      <c r="AB158" t="s">
        <v>33</v>
      </c>
      <c r="AC158" s="14" t="s">
        <v>33</v>
      </c>
      <c r="AD158">
        <v>1</v>
      </c>
      <c r="AE158" s="14">
        <f>AD158*246</f>
        <v>246</v>
      </c>
      <c r="AF158" t="s">
        <v>33</v>
      </c>
      <c r="AG158" s="14" t="s">
        <v>33</v>
      </c>
      <c r="AH158" t="s">
        <v>33</v>
      </c>
      <c r="AI158" s="14" t="s">
        <v>33</v>
      </c>
      <c r="AJ158" t="s">
        <v>33</v>
      </c>
      <c r="AK158" s="14" t="s">
        <v>33</v>
      </c>
      <c r="AL158" t="s">
        <v>33</v>
      </c>
      <c r="AM158" s="14" t="s">
        <v>33</v>
      </c>
      <c r="AN158" t="s">
        <v>33</v>
      </c>
      <c r="AO158" s="14" t="s">
        <v>33</v>
      </c>
      <c r="AP158" t="s">
        <v>33</v>
      </c>
      <c r="AQ158" s="14" t="s">
        <v>33</v>
      </c>
      <c r="AR158" t="s">
        <v>33</v>
      </c>
      <c r="AS158" s="14" t="s">
        <v>33</v>
      </c>
      <c r="AT158" t="s">
        <v>33</v>
      </c>
      <c r="AU158" s="14" t="s">
        <v>33</v>
      </c>
      <c r="AV158" t="s">
        <v>33</v>
      </c>
      <c r="AW158" s="14" t="s">
        <v>33</v>
      </c>
      <c r="AX158" t="s">
        <v>33</v>
      </c>
      <c r="AY158" s="14" t="s">
        <v>33</v>
      </c>
      <c r="AZ158" t="s">
        <v>33</v>
      </c>
      <c r="BA158" s="14" t="s">
        <v>33</v>
      </c>
      <c r="BB158" t="s">
        <v>33</v>
      </c>
      <c r="BC158" s="14" t="s">
        <v>33</v>
      </c>
      <c r="BD158">
        <f t="shared" si="41"/>
        <v>57</v>
      </c>
      <c r="BE158">
        <f t="shared" si="42"/>
        <v>11700</v>
      </c>
      <c r="BF158">
        <f t="shared" si="43"/>
        <v>205.26315789473685</v>
      </c>
    </row>
    <row r="159" spans="1:59" x14ac:dyDescent="0.2">
      <c r="A159" t="s">
        <v>23</v>
      </c>
      <c r="B159" t="s">
        <v>7</v>
      </c>
      <c r="C159" t="s">
        <v>29</v>
      </c>
      <c r="D159" t="s">
        <v>33</v>
      </c>
      <c r="E159" s="14" t="s">
        <v>33</v>
      </c>
      <c r="F159" t="s">
        <v>33</v>
      </c>
      <c r="G159" s="14" t="s">
        <v>33</v>
      </c>
      <c r="H159" t="s">
        <v>33</v>
      </c>
      <c r="I159" s="14" t="s">
        <v>33</v>
      </c>
      <c r="J159">
        <v>0</v>
      </c>
      <c r="K159" s="14">
        <f t="shared" si="33"/>
        <v>0</v>
      </c>
      <c r="L159">
        <v>4</v>
      </c>
      <c r="M159" s="14">
        <f t="shared" si="34"/>
        <v>768</v>
      </c>
      <c r="N159">
        <v>16</v>
      </c>
      <c r="O159" s="14">
        <f t="shared" si="35"/>
        <v>3168</v>
      </c>
      <c r="P159">
        <v>14</v>
      </c>
      <c r="Q159" s="14">
        <f t="shared" si="36"/>
        <v>2856</v>
      </c>
      <c r="R159">
        <v>12</v>
      </c>
      <c r="S159" s="14">
        <f t="shared" si="37"/>
        <v>2520</v>
      </c>
      <c r="T159">
        <v>1</v>
      </c>
      <c r="U159" s="14">
        <f t="shared" si="38"/>
        <v>216</v>
      </c>
      <c r="V159" t="s">
        <v>33</v>
      </c>
      <c r="W159" s="14" t="s">
        <v>33</v>
      </c>
      <c r="X159">
        <v>1</v>
      </c>
      <c r="Y159" s="14">
        <f t="shared" si="40"/>
        <v>228</v>
      </c>
      <c r="Z159" t="s">
        <v>33</v>
      </c>
      <c r="AA159" s="14" t="s">
        <v>33</v>
      </c>
      <c r="AB159" t="s">
        <v>33</v>
      </c>
      <c r="AC159" s="14" t="s">
        <v>33</v>
      </c>
      <c r="AD159" t="s">
        <v>33</v>
      </c>
      <c r="AE159" s="14" t="s">
        <v>33</v>
      </c>
      <c r="AF159" t="s">
        <v>33</v>
      </c>
      <c r="AG159" s="14" t="s">
        <v>33</v>
      </c>
      <c r="AH159" t="s">
        <v>33</v>
      </c>
      <c r="AI159" s="14" t="s">
        <v>33</v>
      </c>
      <c r="AJ159" t="s">
        <v>33</v>
      </c>
      <c r="AK159" s="14" t="s">
        <v>33</v>
      </c>
      <c r="AL159" t="s">
        <v>33</v>
      </c>
      <c r="AM159" s="14" t="s">
        <v>33</v>
      </c>
      <c r="AN159" t="s">
        <v>33</v>
      </c>
      <c r="AO159" s="14" t="s">
        <v>33</v>
      </c>
      <c r="AP159" t="s">
        <v>33</v>
      </c>
      <c r="AQ159" s="14" t="s">
        <v>33</v>
      </c>
      <c r="AR159" t="s">
        <v>33</v>
      </c>
      <c r="AS159" s="14" t="s">
        <v>33</v>
      </c>
      <c r="AT159" t="s">
        <v>33</v>
      </c>
      <c r="AU159" s="14" t="s">
        <v>33</v>
      </c>
      <c r="AV159" t="s">
        <v>33</v>
      </c>
      <c r="AW159" s="14" t="s">
        <v>33</v>
      </c>
      <c r="AX159" t="s">
        <v>33</v>
      </c>
      <c r="AY159" s="14" t="s">
        <v>33</v>
      </c>
      <c r="AZ159" t="s">
        <v>33</v>
      </c>
      <c r="BA159" s="14" t="s">
        <v>33</v>
      </c>
      <c r="BB159" t="s">
        <v>33</v>
      </c>
      <c r="BC159" s="14" t="s">
        <v>33</v>
      </c>
      <c r="BD159">
        <f t="shared" si="41"/>
        <v>48</v>
      </c>
      <c r="BE159">
        <f t="shared" si="42"/>
        <v>9756</v>
      </c>
      <c r="BF159">
        <f t="shared" si="43"/>
        <v>203.25</v>
      </c>
    </row>
    <row r="160" spans="1:59" x14ac:dyDescent="0.2">
      <c r="A160" t="s">
        <v>23</v>
      </c>
      <c r="B160" t="s">
        <v>7</v>
      </c>
      <c r="C160" t="s">
        <v>30</v>
      </c>
      <c r="D160" t="s">
        <v>33</v>
      </c>
      <c r="E160" s="14" t="s">
        <v>33</v>
      </c>
      <c r="F160" t="s">
        <v>33</v>
      </c>
      <c r="G160" s="14" t="s">
        <v>33</v>
      </c>
      <c r="H160" t="s">
        <v>33</v>
      </c>
      <c r="I160" s="14" t="s">
        <v>33</v>
      </c>
      <c r="J160">
        <v>3</v>
      </c>
      <c r="K160" s="14">
        <f t="shared" si="33"/>
        <v>558</v>
      </c>
      <c r="L160">
        <v>9</v>
      </c>
      <c r="M160" s="14">
        <f t="shared" si="34"/>
        <v>1728</v>
      </c>
      <c r="N160">
        <v>12</v>
      </c>
      <c r="O160" s="14">
        <f t="shared" si="35"/>
        <v>2376</v>
      </c>
      <c r="P160">
        <v>8</v>
      </c>
      <c r="Q160" s="14">
        <f t="shared" si="36"/>
        <v>1632</v>
      </c>
      <c r="R160">
        <v>2</v>
      </c>
      <c r="S160" s="14">
        <f t="shared" si="37"/>
        <v>420</v>
      </c>
      <c r="T160">
        <v>0</v>
      </c>
      <c r="U160" s="14">
        <f t="shared" si="38"/>
        <v>0</v>
      </c>
      <c r="V160" t="s">
        <v>33</v>
      </c>
      <c r="W160" s="14" t="s">
        <v>33</v>
      </c>
      <c r="X160">
        <v>1</v>
      </c>
      <c r="Y160" s="14">
        <f t="shared" si="40"/>
        <v>228</v>
      </c>
      <c r="Z160" t="s">
        <v>33</v>
      </c>
      <c r="AA160" s="14" t="s">
        <v>33</v>
      </c>
      <c r="AB160" t="s">
        <v>33</v>
      </c>
      <c r="AC160" s="14" t="s">
        <v>33</v>
      </c>
      <c r="AD160" t="s">
        <v>33</v>
      </c>
      <c r="AE160" s="14" t="s">
        <v>33</v>
      </c>
      <c r="AF160" t="s">
        <v>33</v>
      </c>
      <c r="AG160" s="14" t="s">
        <v>33</v>
      </c>
      <c r="AH160" t="s">
        <v>33</v>
      </c>
      <c r="AI160" s="14" t="s">
        <v>33</v>
      </c>
      <c r="AJ160" t="s">
        <v>33</v>
      </c>
      <c r="AK160" s="14" t="s">
        <v>33</v>
      </c>
      <c r="AL160" t="s">
        <v>33</v>
      </c>
      <c r="AM160" s="14" t="s">
        <v>33</v>
      </c>
      <c r="AN160" t="s">
        <v>33</v>
      </c>
      <c r="AO160" s="14" t="s">
        <v>33</v>
      </c>
      <c r="AP160" t="s">
        <v>33</v>
      </c>
      <c r="AQ160" s="14" t="s">
        <v>33</v>
      </c>
      <c r="AR160" t="s">
        <v>33</v>
      </c>
      <c r="AS160" s="14" t="s">
        <v>33</v>
      </c>
      <c r="AT160" t="s">
        <v>33</v>
      </c>
      <c r="AU160" s="14" t="s">
        <v>33</v>
      </c>
      <c r="AV160" t="s">
        <v>33</v>
      </c>
      <c r="AW160" s="14" t="s">
        <v>33</v>
      </c>
      <c r="AX160" t="s">
        <v>33</v>
      </c>
      <c r="AY160" s="14" t="s">
        <v>33</v>
      </c>
      <c r="AZ160" t="s">
        <v>33</v>
      </c>
      <c r="BA160" s="14" t="s">
        <v>33</v>
      </c>
      <c r="BB160" t="s">
        <v>33</v>
      </c>
      <c r="BC160" s="14" t="s">
        <v>33</v>
      </c>
      <c r="BD160">
        <f t="shared" si="41"/>
        <v>35</v>
      </c>
      <c r="BE160">
        <f t="shared" si="42"/>
        <v>6942</v>
      </c>
      <c r="BF160">
        <f t="shared" si="43"/>
        <v>198.34285714285716</v>
      </c>
    </row>
    <row r="161" spans="1:59" x14ac:dyDescent="0.2">
      <c r="A161" t="s">
        <v>23</v>
      </c>
      <c r="B161" t="s">
        <v>8</v>
      </c>
      <c r="C161" t="s">
        <v>29</v>
      </c>
      <c r="D161" t="s">
        <v>33</v>
      </c>
      <c r="E161" s="14" t="s">
        <v>33</v>
      </c>
      <c r="F161" t="s">
        <v>33</v>
      </c>
      <c r="G161" s="14" t="s">
        <v>33</v>
      </c>
      <c r="H161" t="s">
        <v>33</v>
      </c>
      <c r="I161" s="14" t="s">
        <v>33</v>
      </c>
      <c r="J161">
        <v>1</v>
      </c>
      <c r="K161" s="14">
        <f t="shared" si="33"/>
        <v>186</v>
      </c>
      <c r="L161">
        <v>6</v>
      </c>
      <c r="M161" s="14">
        <f t="shared" si="34"/>
        <v>1152</v>
      </c>
      <c r="N161">
        <v>15</v>
      </c>
      <c r="O161" s="14">
        <f t="shared" si="35"/>
        <v>2970</v>
      </c>
      <c r="P161">
        <v>15</v>
      </c>
      <c r="Q161" s="14">
        <f t="shared" si="36"/>
        <v>3060</v>
      </c>
      <c r="R161">
        <v>8</v>
      </c>
      <c r="S161" s="14">
        <f t="shared" si="37"/>
        <v>1680</v>
      </c>
      <c r="T161">
        <v>2</v>
      </c>
      <c r="U161" s="14">
        <f t="shared" si="38"/>
        <v>432</v>
      </c>
      <c r="V161" t="s">
        <v>33</v>
      </c>
      <c r="W161" s="14" t="s">
        <v>33</v>
      </c>
      <c r="X161">
        <v>1</v>
      </c>
      <c r="Y161" s="14">
        <f t="shared" si="40"/>
        <v>228</v>
      </c>
      <c r="Z161" t="s">
        <v>33</v>
      </c>
      <c r="AA161" s="14" t="s">
        <v>33</v>
      </c>
      <c r="AB161">
        <v>0</v>
      </c>
      <c r="AC161" s="14">
        <f>AB161*240</f>
        <v>0</v>
      </c>
      <c r="AD161" t="s">
        <v>33</v>
      </c>
      <c r="AE161" s="14" t="s">
        <v>33</v>
      </c>
      <c r="AF161" t="s">
        <v>33</v>
      </c>
      <c r="AG161" s="14" t="s">
        <v>33</v>
      </c>
      <c r="AH161" t="s">
        <v>33</v>
      </c>
      <c r="AI161" s="14" t="s">
        <v>33</v>
      </c>
      <c r="AJ161" t="s">
        <v>33</v>
      </c>
      <c r="AK161" s="14" t="s">
        <v>33</v>
      </c>
      <c r="AL161" t="s">
        <v>33</v>
      </c>
      <c r="AM161" s="14" t="s">
        <v>33</v>
      </c>
      <c r="AN161" t="s">
        <v>33</v>
      </c>
      <c r="AO161" s="14" t="s">
        <v>33</v>
      </c>
      <c r="AP161" t="s">
        <v>33</v>
      </c>
      <c r="AQ161" s="14" t="s">
        <v>33</v>
      </c>
      <c r="AR161" t="s">
        <v>33</v>
      </c>
      <c r="AS161" s="14" t="s">
        <v>33</v>
      </c>
      <c r="AT161" t="s">
        <v>33</v>
      </c>
      <c r="AU161" s="14" t="s">
        <v>33</v>
      </c>
      <c r="AV161" t="s">
        <v>33</v>
      </c>
      <c r="AW161" s="14" t="s">
        <v>33</v>
      </c>
      <c r="AX161" t="s">
        <v>33</v>
      </c>
      <c r="AY161" s="14" t="s">
        <v>33</v>
      </c>
      <c r="AZ161" t="s">
        <v>33</v>
      </c>
      <c r="BA161" s="14" t="s">
        <v>33</v>
      </c>
      <c r="BB161" t="s">
        <v>33</v>
      </c>
      <c r="BC161" s="14" t="s">
        <v>33</v>
      </c>
      <c r="BD161">
        <f t="shared" si="41"/>
        <v>48</v>
      </c>
      <c r="BE161">
        <f t="shared" si="42"/>
        <v>9708</v>
      </c>
      <c r="BF161">
        <f t="shared" si="43"/>
        <v>202.25</v>
      </c>
      <c r="BG161" t="s">
        <v>55</v>
      </c>
    </row>
    <row r="162" spans="1:59" x14ac:dyDescent="0.2">
      <c r="A162" t="s">
        <v>23</v>
      </c>
      <c r="B162" t="s">
        <v>8</v>
      </c>
      <c r="C162" t="s">
        <v>30</v>
      </c>
      <c r="D162" t="s">
        <v>33</v>
      </c>
      <c r="E162" s="14" t="s">
        <v>33</v>
      </c>
      <c r="F162" t="s">
        <v>33</v>
      </c>
      <c r="G162" s="14" t="s">
        <v>33</v>
      </c>
      <c r="H162" t="s">
        <v>33</v>
      </c>
      <c r="I162" s="14" t="s">
        <v>33</v>
      </c>
      <c r="J162">
        <v>2</v>
      </c>
      <c r="K162" s="14">
        <f t="shared" si="33"/>
        <v>372</v>
      </c>
      <c r="L162">
        <v>16</v>
      </c>
      <c r="M162" s="14">
        <f t="shared" si="34"/>
        <v>3072</v>
      </c>
      <c r="N162">
        <v>17</v>
      </c>
      <c r="O162" s="14">
        <f t="shared" si="35"/>
        <v>3366</v>
      </c>
      <c r="P162">
        <v>0</v>
      </c>
      <c r="Q162" s="14">
        <f t="shared" si="36"/>
        <v>0</v>
      </c>
      <c r="R162">
        <v>3</v>
      </c>
      <c r="S162" s="14">
        <f t="shared" si="37"/>
        <v>630</v>
      </c>
      <c r="T162">
        <v>0</v>
      </c>
      <c r="U162" s="14">
        <f t="shared" si="38"/>
        <v>0</v>
      </c>
      <c r="V162" t="s">
        <v>33</v>
      </c>
      <c r="W162" s="14" t="s">
        <v>33</v>
      </c>
      <c r="X162">
        <v>0</v>
      </c>
      <c r="Y162" s="14">
        <f t="shared" si="40"/>
        <v>0</v>
      </c>
      <c r="Z162" t="s">
        <v>33</v>
      </c>
      <c r="AA162" s="14" t="s">
        <v>33</v>
      </c>
      <c r="AB162">
        <v>1</v>
      </c>
      <c r="AC162" s="14">
        <f>AB162*240</f>
        <v>240</v>
      </c>
      <c r="AD162" t="s">
        <v>33</v>
      </c>
      <c r="AE162" s="14" t="s">
        <v>33</v>
      </c>
      <c r="AF162" t="s">
        <v>33</v>
      </c>
      <c r="AG162" s="14" t="s">
        <v>33</v>
      </c>
      <c r="AH162" t="s">
        <v>33</v>
      </c>
      <c r="AI162" s="14" t="s">
        <v>33</v>
      </c>
      <c r="AJ162" t="s">
        <v>33</v>
      </c>
      <c r="AK162" s="14" t="s">
        <v>33</v>
      </c>
      <c r="AL162" t="s">
        <v>33</v>
      </c>
      <c r="AM162" s="14" t="s">
        <v>33</v>
      </c>
      <c r="AN162" t="s">
        <v>33</v>
      </c>
      <c r="AO162" s="14" t="s">
        <v>33</v>
      </c>
      <c r="AP162" t="s">
        <v>33</v>
      </c>
      <c r="AQ162" s="14" t="s">
        <v>33</v>
      </c>
      <c r="AR162" t="s">
        <v>33</v>
      </c>
      <c r="AS162" s="14" t="s">
        <v>33</v>
      </c>
      <c r="AT162" t="s">
        <v>33</v>
      </c>
      <c r="AU162" s="14" t="s">
        <v>33</v>
      </c>
      <c r="AV162" t="s">
        <v>33</v>
      </c>
      <c r="AW162" s="14" t="s">
        <v>33</v>
      </c>
      <c r="AX162" t="s">
        <v>33</v>
      </c>
      <c r="AY162" s="14" t="s">
        <v>33</v>
      </c>
      <c r="AZ162" t="s">
        <v>33</v>
      </c>
      <c r="BA162" s="14" t="s">
        <v>33</v>
      </c>
      <c r="BB162" t="s">
        <v>33</v>
      </c>
      <c r="BC162" s="14" t="s">
        <v>33</v>
      </c>
      <c r="BD162">
        <f t="shared" si="41"/>
        <v>39</v>
      </c>
      <c r="BE162">
        <f t="shared" si="42"/>
        <v>7680</v>
      </c>
      <c r="BF162">
        <f t="shared" si="43"/>
        <v>196.92307692307693</v>
      </c>
    </row>
    <row r="163" spans="1:59" x14ac:dyDescent="0.2">
      <c r="A163" t="s">
        <v>24</v>
      </c>
      <c r="B163" t="s">
        <v>4</v>
      </c>
      <c r="C163" t="s">
        <v>29</v>
      </c>
      <c r="D163" t="s">
        <v>33</v>
      </c>
      <c r="E163" s="14" t="s">
        <v>33</v>
      </c>
      <c r="F163" t="s">
        <v>33</v>
      </c>
      <c r="G163" s="14" t="s">
        <v>33</v>
      </c>
      <c r="H163" t="s">
        <v>33</v>
      </c>
      <c r="I163" s="14" t="s">
        <v>33</v>
      </c>
      <c r="J163">
        <v>0</v>
      </c>
      <c r="K163" s="14">
        <f t="shared" si="33"/>
        <v>0</v>
      </c>
      <c r="L163">
        <v>4</v>
      </c>
      <c r="M163" s="14">
        <f t="shared" si="34"/>
        <v>768</v>
      </c>
      <c r="N163">
        <v>18</v>
      </c>
      <c r="O163" s="14">
        <f t="shared" si="35"/>
        <v>3564</v>
      </c>
      <c r="P163">
        <v>17</v>
      </c>
      <c r="Q163" s="14">
        <f t="shared" si="36"/>
        <v>3468</v>
      </c>
      <c r="R163">
        <v>7</v>
      </c>
      <c r="S163" s="14">
        <f t="shared" si="37"/>
        <v>1470</v>
      </c>
      <c r="T163">
        <v>2</v>
      </c>
      <c r="U163" s="14">
        <f t="shared" si="38"/>
        <v>432</v>
      </c>
      <c r="V163">
        <v>1</v>
      </c>
      <c r="W163" s="14">
        <f t="shared" si="39"/>
        <v>222</v>
      </c>
      <c r="X163">
        <v>1</v>
      </c>
      <c r="Y163" s="14">
        <f t="shared" si="40"/>
        <v>228</v>
      </c>
      <c r="Z163" t="s">
        <v>33</v>
      </c>
      <c r="AA163" s="14" t="s">
        <v>33</v>
      </c>
      <c r="AB163" t="s">
        <v>33</v>
      </c>
      <c r="AC163" s="14" t="s">
        <v>33</v>
      </c>
      <c r="AD163" t="s">
        <v>33</v>
      </c>
      <c r="AE163" s="14" t="s">
        <v>33</v>
      </c>
      <c r="AF163" t="s">
        <v>33</v>
      </c>
      <c r="AG163" s="14" t="s">
        <v>33</v>
      </c>
      <c r="AH163" t="s">
        <v>33</v>
      </c>
      <c r="AI163" s="14" t="s">
        <v>33</v>
      </c>
      <c r="AJ163" t="s">
        <v>33</v>
      </c>
      <c r="AK163" s="14" t="s">
        <v>33</v>
      </c>
      <c r="AL163" t="s">
        <v>33</v>
      </c>
      <c r="AM163" s="14" t="s">
        <v>33</v>
      </c>
      <c r="AN163" t="s">
        <v>33</v>
      </c>
      <c r="AO163" s="14" t="s">
        <v>33</v>
      </c>
      <c r="AP163" t="s">
        <v>33</v>
      </c>
      <c r="AQ163" s="14" t="s">
        <v>33</v>
      </c>
      <c r="AR163" t="s">
        <v>33</v>
      </c>
      <c r="AS163" s="14" t="s">
        <v>33</v>
      </c>
      <c r="AT163" t="s">
        <v>33</v>
      </c>
      <c r="AU163" s="14" t="s">
        <v>33</v>
      </c>
      <c r="AV163" t="s">
        <v>33</v>
      </c>
      <c r="AW163" s="14" t="s">
        <v>33</v>
      </c>
      <c r="AX163" t="s">
        <v>33</v>
      </c>
      <c r="AY163" s="14" t="s">
        <v>33</v>
      </c>
      <c r="AZ163" t="s">
        <v>33</v>
      </c>
      <c r="BA163" s="14" t="s">
        <v>33</v>
      </c>
      <c r="BB163" t="s">
        <v>33</v>
      </c>
      <c r="BC163" s="14" t="s">
        <v>33</v>
      </c>
      <c r="BD163">
        <f t="shared" si="41"/>
        <v>50</v>
      </c>
      <c r="BE163">
        <f t="shared" si="42"/>
        <v>10152</v>
      </c>
      <c r="BF163">
        <f t="shared" si="43"/>
        <v>203.04</v>
      </c>
    </row>
    <row r="164" spans="1:59" x14ac:dyDescent="0.2">
      <c r="A164" t="s">
        <v>24</v>
      </c>
      <c r="B164" t="s">
        <v>4</v>
      </c>
      <c r="C164" t="s">
        <v>30</v>
      </c>
      <c r="D164" t="s">
        <v>33</v>
      </c>
      <c r="E164" s="14" t="s">
        <v>33</v>
      </c>
      <c r="F164" t="s">
        <v>33</v>
      </c>
      <c r="G164" s="14" t="s">
        <v>33</v>
      </c>
      <c r="H164" t="s">
        <v>33</v>
      </c>
      <c r="I164" s="14" t="s">
        <v>33</v>
      </c>
      <c r="J164">
        <v>7</v>
      </c>
      <c r="K164" s="14">
        <f t="shared" si="33"/>
        <v>1302</v>
      </c>
      <c r="L164">
        <v>8</v>
      </c>
      <c r="M164" s="14">
        <f t="shared" si="34"/>
        <v>1536</v>
      </c>
      <c r="N164">
        <v>16</v>
      </c>
      <c r="O164" s="14">
        <f t="shared" si="35"/>
        <v>3168</v>
      </c>
      <c r="P164">
        <v>7</v>
      </c>
      <c r="Q164" s="14">
        <f t="shared" si="36"/>
        <v>1428</v>
      </c>
      <c r="R164">
        <v>5</v>
      </c>
      <c r="S164" s="14">
        <f t="shared" si="37"/>
        <v>1050</v>
      </c>
      <c r="T164">
        <v>0</v>
      </c>
      <c r="U164" s="14">
        <f t="shared" si="38"/>
        <v>0</v>
      </c>
      <c r="V164">
        <v>2</v>
      </c>
      <c r="W164" s="14">
        <f t="shared" si="39"/>
        <v>444</v>
      </c>
      <c r="X164">
        <v>2</v>
      </c>
      <c r="Y164" s="14">
        <f t="shared" si="40"/>
        <v>456</v>
      </c>
      <c r="Z164" t="s">
        <v>33</v>
      </c>
      <c r="AA164" s="14" t="s">
        <v>33</v>
      </c>
      <c r="AB164" t="s">
        <v>33</v>
      </c>
      <c r="AC164" s="14" t="s">
        <v>33</v>
      </c>
      <c r="AD164" t="s">
        <v>33</v>
      </c>
      <c r="AE164" s="14" t="s">
        <v>33</v>
      </c>
      <c r="AF164" t="s">
        <v>33</v>
      </c>
      <c r="AG164" s="14" t="s">
        <v>33</v>
      </c>
      <c r="AH164" t="s">
        <v>33</v>
      </c>
      <c r="AI164" s="14" t="s">
        <v>33</v>
      </c>
      <c r="AJ164" t="s">
        <v>33</v>
      </c>
      <c r="AK164" s="14" t="s">
        <v>33</v>
      </c>
      <c r="AL164" t="s">
        <v>33</v>
      </c>
      <c r="AM164" s="14" t="s">
        <v>33</v>
      </c>
      <c r="AN164" t="s">
        <v>33</v>
      </c>
      <c r="AO164" s="14" t="s">
        <v>33</v>
      </c>
      <c r="AP164" t="s">
        <v>33</v>
      </c>
      <c r="AQ164" s="14" t="s">
        <v>33</v>
      </c>
      <c r="AR164" t="s">
        <v>33</v>
      </c>
      <c r="AS164" s="14" t="s">
        <v>33</v>
      </c>
      <c r="AT164" t="s">
        <v>33</v>
      </c>
      <c r="AU164" s="14" t="s">
        <v>33</v>
      </c>
      <c r="AV164" t="s">
        <v>33</v>
      </c>
      <c r="AW164" s="14" t="s">
        <v>33</v>
      </c>
      <c r="AX164" t="s">
        <v>33</v>
      </c>
      <c r="AY164" s="14" t="s">
        <v>33</v>
      </c>
      <c r="AZ164" t="s">
        <v>33</v>
      </c>
      <c r="BA164" s="14" t="s">
        <v>33</v>
      </c>
      <c r="BB164" t="s">
        <v>33</v>
      </c>
      <c r="BC164" s="14" t="s">
        <v>33</v>
      </c>
      <c r="BD164">
        <f t="shared" si="41"/>
        <v>47</v>
      </c>
      <c r="BE164">
        <f t="shared" si="42"/>
        <v>9384</v>
      </c>
      <c r="BF164">
        <f t="shared" si="43"/>
        <v>199.65957446808511</v>
      </c>
    </row>
    <row r="165" spans="1:59" x14ac:dyDescent="0.2">
      <c r="A165" t="s">
        <v>24</v>
      </c>
      <c r="B165" t="s">
        <v>5</v>
      </c>
      <c r="C165" t="s">
        <v>29</v>
      </c>
      <c r="D165" t="s">
        <v>33</v>
      </c>
      <c r="E165" s="14" t="s">
        <v>33</v>
      </c>
      <c r="F165" t="s">
        <v>33</v>
      </c>
      <c r="G165" s="14" t="s">
        <v>33</v>
      </c>
      <c r="H165">
        <v>0</v>
      </c>
      <c r="I165" s="14">
        <f>H165*180</f>
        <v>0</v>
      </c>
      <c r="J165">
        <v>0</v>
      </c>
      <c r="K165" s="14">
        <f t="shared" si="33"/>
        <v>0</v>
      </c>
      <c r="L165">
        <v>3</v>
      </c>
      <c r="M165" s="14">
        <f t="shared" si="34"/>
        <v>576</v>
      </c>
      <c r="N165">
        <v>11</v>
      </c>
      <c r="O165" s="14">
        <f t="shared" si="35"/>
        <v>2178</v>
      </c>
      <c r="P165">
        <v>12</v>
      </c>
      <c r="Q165" s="14">
        <f t="shared" si="36"/>
        <v>2448</v>
      </c>
      <c r="R165">
        <v>14</v>
      </c>
      <c r="S165" s="14">
        <f t="shared" si="37"/>
        <v>2940</v>
      </c>
      <c r="T165">
        <v>4</v>
      </c>
      <c r="U165" s="14">
        <f t="shared" si="38"/>
        <v>864</v>
      </c>
      <c r="V165">
        <v>4</v>
      </c>
      <c r="W165" s="14">
        <f t="shared" si="39"/>
        <v>888</v>
      </c>
      <c r="X165">
        <v>3</v>
      </c>
      <c r="Y165" s="14">
        <f t="shared" si="40"/>
        <v>684</v>
      </c>
      <c r="Z165">
        <v>1</v>
      </c>
      <c r="AA165" s="14">
        <f>Z165*234</f>
        <v>234</v>
      </c>
      <c r="AB165" t="s">
        <v>33</v>
      </c>
      <c r="AC165" s="14" t="s">
        <v>33</v>
      </c>
      <c r="AD165" t="s">
        <v>33</v>
      </c>
      <c r="AE165" s="14" t="s">
        <v>33</v>
      </c>
      <c r="AF165">
        <v>1</v>
      </c>
      <c r="AG165" s="14">
        <f>AF165*252</f>
        <v>252</v>
      </c>
      <c r="AH165" t="s">
        <v>33</v>
      </c>
      <c r="AI165" s="14" t="s">
        <v>33</v>
      </c>
      <c r="AJ165">
        <v>0</v>
      </c>
      <c r="AK165" s="14">
        <f>AJ165*264</f>
        <v>0</v>
      </c>
      <c r="AL165" t="s">
        <v>33</v>
      </c>
      <c r="AM165" s="14" t="s">
        <v>33</v>
      </c>
      <c r="AN165" t="s">
        <v>33</v>
      </c>
      <c r="AO165" s="14" t="s">
        <v>33</v>
      </c>
      <c r="AP165" t="s">
        <v>33</v>
      </c>
      <c r="AQ165" s="14" t="s">
        <v>33</v>
      </c>
      <c r="AR165" t="s">
        <v>33</v>
      </c>
      <c r="AS165" s="14" t="s">
        <v>33</v>
      </c>
      <c r="AT165" t="s">
        <v>33</v>
      </c>
      <c r="AU165" s="14" t="s">
        <v>33</v>
      </c>
      <c r="AV165" t="s">
        <v>33</v>
      </c>
      <c r="AW165" s="14" t="s">
        <v>33</v>
      </c>
      <c r="AX165" t="s">
        <v>33</v>
      </c>
      <c r="AY165" s="14" t="s">
        <v>33</v>
      </c>
      <c r="AZ165" t="s">
        <v>33</v>
      </c>
      <c r="BA165" s="14" t="s">
        <v>33</v>
      </c>
      <c r="BB165" t="s">
        <v>33</v>
      </c>
      <c r="BC165" s="14" t="s">
        <v>33</v>
      </c>
      <c r="BD165">
        <f t="shared" si="41"/>
        <v>53</v>
      </c>
      <c r="BE165">
        <f t="shared" si="42"/>
        <v>11064</v>
      </c>
      <c r="BF165">
        <f t="shared" si="43"/>
        <v>208.75471698113208</v>
      </c>
    </row>
    <row r="166" spans="1:59" x14ac:dyDescent="0.2">
      <c r="A166" t="s">
        <v>24</v>
      </c>
      <c r="B166" t="s">
        <v>5</v>
      </c>
      <c r="C166" t="s">
        <v>30</v>
      </c>
      <c r="D166" t="s">
        <v>33</v>
      </c>
      <c r="E166" s="14" t="s">
        <v>33</v>
      </c>
      <c r="F166" t="s">
        <v>33</v>
      </c>
      <c r="G166" s="14" t="s">
        <v>33</v>
      </c>
      <c r="H166">
        <v>1</v>
      </c>
      <c r="I166" s="14">
        <f>H166*180</f>
        <v>180</v>
      </c>
      <c r="J166">
        <v>1</v>
      </c>
      <c r="K166" s="14">
        <f t="shared" si="33"/>
        <v>186</v>
      </c>
      <c r="L166">
        <v>4</v>
      </c>
      <c r="M166" s="14">
        <f t="shared" si="34"/>
        <v>768</v>
      </c>
      <c r="N166">
        <v>18</v>
      </c>
      <c r="O166" s="14">
        <f t="shared" si="35"/>
        <v>3564</v>
      </c>
      <c r="P166">
        <v>11</v>
      </c>
      <c r="Q166" s="14">
        <f t="shared" si="36"/>
        <v>2244</v>
      </c>
      <c r="R166">
        <v>11</v>
      </c>
      <c r="S166" s="14">
        <f t="shared" si="37"/>
        <v>2310</v>
      </c>
      <c r="T166">
        <v>3</v>
      </c>
      <c r="U166" s="14">
        <f t="shared" si="38"/>
        <v>648</v>
      </c>
      <c r="V166">
        <v>2</v>
      </c>
      <c r="W166" s="14">
        <f t="shared" si="39"/>
        <v>444</v>
      </c>
      <c r="X166">
        <v>0</v>
      </c>
      <c r="Y166" s="14">
        <f t="shared" si="40"/>
        <v>0</v>
      </c>
      <c r="Z166">
        <v>1</v>
      </c>
      <c r="AA166" s="14">
        <f>Z166*234</f>
        <v>234</v>
      </c>
      <c r="AB166" t="s">
        <v>33</v>
      </c>
      <c r="AC166" s="14" t="s">
        <v>33</v>
      </c>
      <c r="AD166" t="s">
        <v>33</v>
      </c>
      <c r="AE166" s="14" t="s">
        <v>33</v>
      </c>
      <c r="AF166">
        <v>0</v>
      </c>
      <c r="AG166" s="14">
        <f>AF166*252</f>
        <v>0</v>
      </c>
      <c r="AH166" t="s">
        <v>33</v>
      </c>
      <c r="AI166" s="14" t="s">
        <v>33</v>
      </c>
      <c r="AJ166">
        <v>1</v>
      </c>
      <c r="AK166" s="14">
        <f>AJ166*264</f>
        <v>264</v>
      </c>
      <c r="AL166" t="s">
        <v>33</v>
      </c>
      <c r="AM166" s="14" t="s">
        <v>33</v>
      </c>
      <c r="AN166" t="s">
        <v>33</v>
      </c>
      <c r="AO166" s="14" t="s">
        <v>33</v>
      </c>
      <c r="AP166" t="s">
        <v>33</v>
      </c>
      <c r="AQ166" s="14" t="s">
        <v>33</v>
      </c>
      <c r="AR166" t="s">
        <v>33</v>
      </c>
      <c r="AS166" s="14" t="s">
        <v>33</v>
      </c>
      <c r="AT166" t="s">
        <v>33</v>
      </c>
      <c r="AU166" s="14" t="s">
        <v>33</v>
      </c>
      <c r="AV166" t="s">
        <v>33</v>
      </c>
      <c r="AW166" s="14" t="s">
        <v>33</v>
      </c>
      <c r="AX166" t="s">
        <v>33</v>
      </c>
      <c r="AY166" s="14" t="s">
        <v>33</v>
      </c>
      <c r="AZ166" t="s">
        <v>33</v>
      </c>
      <c r="BA166" s="14" t="s">
        <v>33</v>
      </c>
      <c r="BB166" t="s">
        <v>33</v>
      </c>
      <c r="BC166" s="14" t="s">
        <v>33</v>
      </c>
      <c r="BD166">
        <f t="shared" si="41"/>
        <v>53</v>
      </c>
      <c r="BE166">
        <f t="shared" si="42"/>
        <v>10842</v>
      </c>
      <c r="BF166">
        <f t="shared" si="43"/>
        <v>204.56603773584905</v>
      </c>
    </row>
    <row r="167" spans="1:59" x14ac:dyDescent="0.2">
      <c r="A167" t="s">
        <v>24</v>
      </c>
      <c r="B167" t="s">
        <v>6</v>
      </c>
      <c r="C167" t="s">
        <v>29</v>
      </c>
      <c r="D167" t="s">
        <v>33</v>
      </c>
      <c r="E167" s="14" t="s">
        <v>33</v>
      </c>
      <c r="F167" t="s">
        <v>33</v>
      </c>
      <c r="G167" s="14" t="s">
        <v>33</v>
      </c>
      <c r="H167" t="s">
        <v>33</v>
      </c>
      <c r="I167" s="14" t="s">
        <v>33</v>
      </c>
      <c r="J167">
        <v>1</v>
      </c>
      <c r="K167" s="14">
        <f t="shared" si="33"/>
        <v>186</v>
      </c>
      <c r="L167">
        <v>1</v>
      </c>
      <c r="M167" s="14">
        <f t="shared" si="34"/>
        <v>192</v>
      </c>
      <c r="N167">
        <v>14</v>
      </c>
      <c r="O167" s="14">
        <f t="shared" si="35"/>
        <v>2772</v>
      </c>
      <c r="P167">
        <v>4</v>
      </c>
      <c r="Q167" s="14">
        <f t="shared" si="36"/>
        <v>816</v>
      </c>
      <c r="R167">
        <v>17</v>
      </c>
      <c r="S167" s="14">
        <f t="shared" si="37"/>
        <v>3570</v>
      </c>
      <c r="T167">
        <v>0</v>
      </c>
      <c r="U167" s="14">
        <f t="shared" si="38"/>
        <v>0</v>
      </c>
      <c r="V167">
        <v>1</v>
      </c>
      <c r="W167" s="14">
        <f t="shared" si="39"/>
        <v>222</v>
      </c>
      <c r="X167">
        <v>1</v>
      </c>
      <c r="Y167" s="14">
        <f t="shared" si="40"/>
        <v>228</v>
      </c>
      <c r="Z167">
        <v>0</v>
      </c>
      <c r="AA167" s="14">
        <f>Z167*234</f>
        <v>0</v>
      </c>
      <c r="AB167" t="s">
        <v>33</v>
      </c>
      <c r="AC167" s="14" t="s">
        <v>33</v>
      </c>
      <c r="AD167" t="s">
        <v>33</v>
      </c>
      <c r="AE167" s="14" t="s">
        <v>33</v>
      </c>
      <c r="AF167" t="s">
        <v>33</v>
      </c>
      <c r="AG167" s="14" t="s">
        <v>33</v>
      </c>
      <c r="AH167" t="s">
        <v>33</v>
      </c>
      <c r="AI167" s="14" t="s">
        <v>33</v>
      </c>
      <c r="AJ167" t="s">
        <v>33</v>
      </c>
      <c r="AK167" s="14" t="s">
        <v>33</v>
      </c>
      <c r="AL167" t="s">
        <v>33</v>
      </c>
      <c r="AM167" s="14" t="s">
        <v>33</v>
      </c>
      <c r="AN167" t="s">
        <v>33</v>
      </c>
      <c r="AO167" s="14" t="s">
        <v>33</v>
      </c>
      <c r="AP167" t="s">
        <v>33</v>
      </c>
      <c r="AQ167" s="14" t="s">
        <v>33</v>
      </c>
      <c r="AR167" t="s">
        <v>33</v>
      </c>
      <c r="AS167" s="14" t="s">
        <v>33</v>
      </c>
      <c r="AT167" t="s">
        <v>33</v>
      </c>
      <c r="AU167" s="14" t="s">
        <v>33</v>
      </c>
      <c r="AV167" t="s">
        <v>33</v>
      </c>
      <c r="AW167" s="14" t="s">
        <v>33</v>
      </c>
      <c r="AX167" t="s">
        <v>33</v>
      </c>
      <c r="AY167" s="14" t="s">
        <v>33</v>
      </c>
      <c r="AZ167" t="s">
        <v>33</v>
      </c>
      <c r="BA167" s="14" t="s">
        <v>33</v>
      </c>
      <c r="BB167" t="s">
        <v>33</v>
      </c>
      <c r="BC167" s="14" t="s">
        <v>33</v>
      </c>
      <c r="BD167">
        <f t="shared" si="41"/>
        <v>39</v>
      </c>
      <c r="BE167">
        <f t="shared" si="42"/>
        <v>7986</v>
      </c>
      <c r="BF167">
        <f t="shared" si="43"/>
        <v>204.76923076923077</v>
      </c>
    </row>
    <row r="168" spans="1:59" x14ac:dyDescent="0.2">
      <c r="A168" t="s">
        <v>24</v>
      </c>
      <c r="B168" t="s">
        <v>6</v>
      </c>
      <c r="C168" t="s">
        <v>30</v>
      </c>
      <c r="D168" t="s">
        <v>33</v>
      </c>
      <c r="E168" s="14" t="s">
        <v>33</v>
      </c>
      <c r="F168" t="s">
        <v>33</v>
      </c>
      <c r="G168" s="14" t="s">
        <v>33</v>
      </c>
      <c r="H168" t="s">
        <v>33</v>
      </c>
      <c r="I168" s="14" t="s">
        <v>33</v>
      </c>
      <c r="J168">
        <v>3</v>
      </c>
      <c r="K168" s="14">
        <f t="shared" si="33"/>
        <v>558</v>
      </c>
      <c r="L168">
        <v>15</v>
      </c>
      <c r="M168" s="14">
        <f t="shared" si="34"/>
        <v>2880</v>
      </c>
      <c r="N168">
        <v>12</v>
      </c>
      <c r="O168" s="14">
        <f t="shared" si="35"/>
        <v>2376</v>
      </c>
      <c r="P168">
        <v>6</v>
      </c>
      <c r="Q168" s="14">
        <f t="shared" si="36"/>
        <v>1224</v>
      </c>
      <c r="R168">
        <v>4</v>
      </c>
      <c r="S168" s="14">
        <f t="shared" si="37"/>
        <v>840</v>
      </c>
      <c r="T168">
        <v>1</v>
      </c>
      <c r="U168" s="14">
        <f t="shared" si="38"/>
        <v>216</v>
      </c>
      <c r="V168">
        <v>1</v>
      </c>
      <c r="W168" s="14">
        <f t="shared" si="39"/>
        <v>222</v>
      </c>
      <c r="X168">
        <v>0</v>
      </c>
      <c r="Y168" s="14">
        <f t="shared" si="40"/>
        <v>0</v>
      </c>
      <c r="Z168">
        <v>1</v>
      </c>
      <c r="AA168" s="14">
        <f>Z168*234</f>
        <v>234</v>
      </c>
      <c r="AB168" t="s">
        <v>33</v>
      </c>
      <c r="AC168" s="14" t="s">
        <v>33</v>
      </c>
      <c r="AD168" t="s">
        <v>33</v>
      </c>
      <c r="AE168" s="14" t="s">
        <v>33</v>
      </c>
      <c r="AF168" t="s">
        <v>33</v>
      </c>
      <c r="AG168" s="14" t="s">
        <v>33</v>
      </c>
      <c r="AH168" t="s">
        <v>33</v>
      </c>
      <c r="AI168" s="14" t="s">
        <v>33</v>
      </c>
      <c r="AJ168" t="s">
        <v>33</v>
      </c>
      <c r="AK168" s="14" t="s">
        <v>33</v>
      </c>
      <c r="AL168" t="s">
        <v>33</v>
      </c>
      <c r="AM168" s="14" t="s">
        <v>33</v>
      </c>
      <c r="AN168" t="s">
        <v>33</v>
      </c>
      <c r="AO168" s="14" t="s">
        <v>33</v>
      </c>
      <c r="AP168" t="s">
        <v>33</v>
      </c>
      <c r="AQ168" s="14" t="s">
        <v>33</v>
      </c>
      <c r="AR168" t="s">
        <v>33</v>
      </c>
      <c r="AS168" s="14" t="s">
        <v>33</v>
      </c>
      <c r="AT168" t="s">
        <v>33</v>
      </c>
      <c r="AU168" s="14" t="s">
        <v>33</v>
      </c>
      <c r="AV168" t="s">
        <v>33</v>
      </c>
      <c r="AW168" s="14" t="s">
        <v>33</v>
      </c>
      <c r="AX168" t="s">
        <v>33</v>
      </c>
      <c r="AY168" s="14" t="s">
        <v>33</v>
      </c>
      <c r="AZ168" t="s">
        <v>33</v>
      </c>
      <c r="BA168" s="14" t="s">
        <v>33</v>
      </c>
      <c r="BB168" t="s">
        <v>33</v>
      </c>
      <c r="BC168" s="14" t="s">
        <v>33</v>
      </c>
      <c r="BD168">
        <f t="shared" si="41"/>
        <v>43</v>
      </c>
      <c r="BE168">
        <f t="shared" si="42"/>
        <v>8550</v>
      </c>
      <c r="BF168">
        <f t="shared" si="43"/>
        <v>198.83720930232559</v>
      </c>
    </row>
    <row r="169" spans="1:59" x14ac:dyDescent="0.2">
      <c r="A169" t="s">
        <v>24</v>
      </c>
      <c r="B169" t="s">
        <v>7</v>
      </c>
      <c r="C169" t="s">
        <v>29</v>
      </c>
      <c r="D169" t="s">
        <v>33</v>
      </c>
      <c r="E169" s="14" t="s">
        <v>33</v>
      </c>
      <c r="F169" t="s">
        <v>33</v>
      </c>
      <c r="G169" s="14" t="s">
        <v>33</v>
      </c>
      <c r="H169" t="s">
        <v>33</v>
      </c>
      <c r="I169" s="14" t="s">
        <v>33</v>
      </c>
      <c r="J169">
        <v>2</v>
      </c>
      <c r="K169" s="14">
        <f t="shared" si="33"/>
        <v>372</v>
      </c>
      <c r="L169">
        <v>2</v>
      </c>
      <c r="M169" s="14">
        <f t="shared" si="34"/>
        <v>384</v>
      </c>
      <c r="N169">
        <v>12</v>
      </c>
      <c r="O169" s="14">
        <f t="shared" si="35"/>
        <v>2376</v>
      </c>
      <c r="P169">
        <v>14</v>
      </c>
      <c r="Q169" s="14">
        <f t="shared" si="36"/>
        <v>2856</v>
      </c>
      <c r="R169">
        <v>17</v>
      </c>
      <c r="S169" s="14">
        <f t="shared" si="37"/>
        <v>3570</v>
      </c>
      <c r="T169">
        <v>5</v>
      </c>
      <c r="U169" s="14">
        <f t="shared" si="38"/>
        <v>1080</v>
      </c>
      <c r="V169">
        <v>4</v>
      </c>
      <c r="W169" s="14">
        <f t="shared" si="39"/>
        <v>888</v>
      </c>
      <c r="X169" t="s">
        <v>33</v>
      </c>
      <c r="Y169" s="14" t="s">
        <v>33</v>
      </c>
      <c r="Z169" t="s">
        <v>33</v>
      </c>
      <c r="AA169" s="14" t="s">
        <v>33</v>
      </c>
      <c r="AB169" t="s">
        <v>33</v>
      </c>
      <c r="AC169" s="14" t="s">
        <v>33</v>
      </c>
      <c r="AD169" t="s">
        <v>33</v>
      </c>
      <c r="AE169" s="14" t="s">
        <v>33</v>
      </c>
      <c r="AF169" t="s">
        <v>33</v>
      </c>
      <c r="AG169" s="14" t="s">
        <v>33</v>
      </c>
      <c r="AH169" t="s">
        <v>33</v>
      </c>
      <c r="AI169" s="14" t="s">
        <v>33</v>
      </c>
      <c r="AJ169" t="s">
        <v>33</v>
      </c>
      <c r="AK169" s="14" t="s">
        <v>33</v>
      </c>
      <c r="AL169" t="s">
        <v>33</v>
      </c>
      <c r="AM169" s="14" t="s">
        <v>33</v>
      </c>
      <c r="AN169" t="s">
        <v>33</v>
      </c>
      <c r="AO169" s="14" t="s">
        <v>33</v>
      </c>
      <c r="AP169" t="s">
        <v>33</v>
      </c>
      <c r="AQ169" s="14" t="s">
        <v>33</v>
      </c>
      <c r="AR169" t="s">
        <v>33</v>
      </c>
      <c r="AS169" s="14" t="s">
        <v>33</v>
      </c>
      <c r="AT169" t="s">
        <v>33</v>
      </c>
      <c r="AU169" s="14" t="s">
        <v>33</v>
      </c>
      <c r="AV169" t="s">
        <v>33</v>
      </c>
      <c r="AW169" s="14" t="s">
        <v>33</v>
      </c>
      <c r="AX169" t="s">
        <v>33</v>
      </c>
      <c r="AY169" s="14" t="s">
        <v>33</v>
      </c>
      <c r="AZ169" t="s">
        <v>33</v>
      </c>
      <c r="BA169" s="14" t="s">
        <v>33</v>
      </c>
      <c r="BB169" t="s">
        <v>33</v>
      </c>
      <c r="BC169" s="14" t="s">
        <v>33</v>
      </c>
      <c r="BD169">
        <f t="shared" si="41"/>
        <v>56</v>
      </c>
      <c r="BE169">
        <f t="shared" si="42"/>
        <v>11526</v>
      </c>
      <c r="BF169">
        <f t="shared" si="43"/>
        <v>205.82142857142858</v>
      </c>
    </row>
    <row r="170" spans="1:59" x14ac:dyDescent="0.2">
      <c r="A170" t="s">
        <v>24</v>
      </c>
      <c r="B170" t="s">
        <v>7</v>
      </c>
      <c r="C170" t="s">
        <v>30</v>
      </c>
      <c r="D170" t="s">
        <v>33</v>
      </c>
      <c r="E170" s="14" t="s">
        <v>33</v>
      </c>
      <c r="F170" t="s">
        <v>33</v>
      </c>
      <c r="G170" s="14" t="s">
        <v>33</v>
      </c>
      <c r="H170" t="s">
        <v>33</v>
      </c>
      <c r="I170" s="14" t="s">
        <v>33</v>
      </c>
      <c r="J170">
        <v>3</v>
      </c>
      <c r="K170" s="14">
        <f t="shared" si="33"/>
        <v>558</v>
      </c>
      <c r="L170">
        <v>11</v>
      </c>
      <c r="M170" s="14">
        <f t="shared" si="34"/>
        <v>2112</v>
      </c>
      <c r="N170">
        <v>15</v>
      </c>
      <c r="O170" s="14">
        <f t="shared" si="35"/>
        <v>2970</v>
      </c>
      <c r="P170">
        <v>8</v>
      </c>
      <c r="Q170" s="14">
        <f t="shared" si="36"/>
        <v>1632</v>
      </c>
      <c r="R170">
        <v>3</v>
      </c>
      <c r="S170" s="14">
        <f t="shared" si="37"/>
        <v>630</v>
      </c>
      <c r="T170">
        <v>0</v>
      </c>
      <c r="U170" s="14">
        <f t="shared" si="38"/>
        <v>0</v>
      </c>
      <c r="V170">
        <v>1</v>
      </c>
      <c r="W170" s="14">
        <f t="shared" si="39"/>
        <v>222</v>
      </c>
      <c r="X170" t="s">
        <v>33</v>
      </c>
      <c r="Y170" s="14" t="s">
        <v>33</v>
      </c>
      <c r="Z170" t="s">
        <v>33</v>
      </c>
      <c r="AA170" s="14" t="s">
        <v>33</v>
      </c>
      <c r="AB170" t="s">
        <v>33</v>
      </c>
      <c r="AC170" s="14" t="s">
        <v>33</v>
      </c>
      <c r="AD170" t="s">
        <v>33</v>
      </c>
      <c r="AE170" s="14" t="s">
        <v>33</v>
      </c>
      <c r="AF170" t="s">
        <v>33</v>
      </c>
      <c r="AG170" s="14" t="s">
        <v>33</v>
      </c>
      <c r="AH170" t="s">
        <v>33</v>
      </c>
      <c r="AI170" s="14" t="s">
        <v>33</v>
      </c>
      <c r="AJ170" t="s">
        <v>33</v>
      </c>
      <c r="AK170" s="14" t="s">
        <v>33</v>
      </c>
      <c r="AL170" t="s">
        <v>33</v>
      </c>
      <c r="AM170" s="14" t="s">
        <v>33</v>
      </c>
      <c r="AN170" t="s">
        <v>33</v>
      </c>
      <c r="AO170" s="14" t="s">
        <v>33</v>
      </c>
      <c r="AP170" t="s">
        <v>33</v>
      </c>
      <c r="AQ170" s="14" t="s">
        <v>33</v>
      </c>
      <c r="AR170" t="s">
        <v>33</v>
      </c>
      <c r="AS170" s="14" t="s">
        <v>33</v>
      </c>
      <c r="AT170" t="s">
        <v>33</v>
      </c>
      <c r="AU170" s="14" t="s">
        <v>33</v>
      </c>
      <c r="AV170" t="s">
        <v>33</v>
      </c>
      <c r="AW170" s="14" t="s">
        <v>33</v>
      </c>
      <c r="AX170" t="s">
        <v>33</v>
      </c>
      <c r="AY170" s="14" t="s">
        <v>33</v>
      </c>
      <c r="AZ170" t="s">
        <v>33</v>
      </c>
      <c r="BA170" s="14" t="s">
        <v>33</v>
      </c>
      <c r="BB170" t="s">
        <v>33</v>
      </c>
      <c r="BC170" s="14" t="s">
        <v>33</v>
      </c>
      <c r="BD170">
        <f t="shared" si="41"/>
        <v>41</v>
      </c>
      <c r="BE170">
        <f t="shared" si="42"/>
        <v>8124</v>
      </c>
      <c r="BF170">
        <f t="shared" si="43"/>
        <v>198.14634146341464</v>
      </c>
    </row>
    <row r="171" spans="1:59" x14ac:dyDescent="0.2">
      <c r="A171" t="s">
        <v>24</v>
      </c>
      <c r="B171" t="s">
        <v>8</v>
      </c>
      <c r="C171" t="s">
        <v>29</v>
      </c>
      <c r="D171" t="s">
        <v>33</v>
      </c>
      <c r="E171" s="14" t="s">
        <v>33</v>
      </c>
      <c r="F171" t="s">
        <v>33</v>
      </c>
      <c r="G171" s="14" t="s">
        <v>33</v>
      </c>
      <c r="H171" t="s">
        <v>33</v>
      </c>
      <c r="I171" s="14" t="s">
        <v>33</v>
      </c>
      <c r="J171">
        <v>0</v>
      </c>
      <c r="K171" s="14">
        <f t="shared" si="33"/>
        <v>0</v>
      </c>
      <c r="L171">
        <v>9</v>
      </c>
      <c r="M171" s="14">
        <f t="shared" si="34"/>
        <v>1728</v>
      </c>
      <c r="N171">
        <v>11</v>
      </c>
      <c r="O171" s="14">
        <f t="shared" si="35"/>
        <v>2178</v>
      </c>
      <c r="P171">
        <v>10</v>
      </c>
      <c r="Q171" s="14">
        <f t="shared" si="36"/>
        <v>2040</v>
      </c>
      <c r="R171">
        <v>9</v>
      </c>
      <c r="S171" s="14">
        <f t="shared" si="37"/>
        <v>1890</v>
      </c>
      <c r="T171">
        <v>0</v>
      </c>
      <c r="U171" s="14">
        <f t="shared" si="38"/>
        <v>0</v>
      </c>
      <c r="V171" t="s">
        <v>33</v>
      </c>
      <c r="W171" s="14" t="s">
        <v>33</v>
      </c>
      <c r="X171" t="s">
        <v>33</v>
      </c>
      <c r="Y171" s="14" t="s">
        <v>33</v>
      </c>
      <c r="Z171">
        <v>1</v>
      </c>
      <c r="AA171" s="14">
        <f t="shared" ref="AA171:AA178" si="46">Z171*234</f>
        <v>234</v>
      </c>
      <c r="AB171" t="s">
        <v>33</v>
      </c>
      <c r="AC171" s="14" t="s">
        <v>33</v>
      </c>
      <c r="AD171" t="s">
        <v>33</v>
      </c>
      <c r="AE171" s="14" t="s">
        <v>33</v>
      </c>
      <c r="AF171" t="s">
        <v>33</v>
      </c>
      <c r="AG171" s="14" t="s">
        <v>33</v>
      </c>
      <c r="AH171" t="s">
        <v>33</v>
      </c>
      <c r="AI171" s="14" t="s">
        <v>33</v>
      </c>
      <c r="AJ171" t="s">
        <v>33</v>
      </c>
      <c r="AK171" s="14" t="s">
        <v>33</v>
      </c>
      <c r="AL171" t="s">
        <v>33</v>
      </c>
      <c r="AM171" s="14" t="s">
        <v>33</v>
      </c>
      <c r="AN171" t="s">
        <v>33</v>
      </c>
      <c r="AO171" s="14" t="s">
        <v>33</v>
      </c>
      <c r="AP171" t="s">
        <v>33</v>
      </c>
      <c r="AQ171" s="14" t="s">
        <v>33</v>
      </c>
      <c r="AR171" t="s">
        <v>33</v>
      </c>
      <c r="AS171" s="14" t="s">
        <v>33</v>
      </c>
      <c r="AT171" t="s">
        <v>33</v>
      </c>
      <c r="AU171" s="14" t="s">
        <v>33</v>
      </c>
      <c r="AV171" t="s">
        <v>33</v>
      </c>
      <c r="AW171" s="14" t="s">
        <v>33</v>
      </c>
      <c r="AX171" t="s">
        <v>33</v>
      </c>
      <c r="AY171" s="14" t="s">
        <v>33</v>
      </c>
      <c r="AZ171" t="s">
        <v>33</v>
      </c>
      <c r="BA171" s="14" t="s">
        <v>33</v>
      </c>
      <c r="BB171" t="s">
        <v>33</v>
      </c>
      <c r="BC171" s="14" t="s">
        <v>33</v>
      </c>
      <c r="BD171">
        <f t="shared" si="41"/>
        <v>40</v>
      </c>
      <c r="BE171">
        <f t="shared" si="42"/>
        <v>8070</v>
      </c>
      <c r="BF171">
        <f t="shared" si="43"/>
        <v>201.75</v>
      </c>
    </row>
    <row r="172" spans="1:59" x14ac:dyDescent="0.2">
      <c r="A172" t="s">
        <v>24</v>
      </c>
      <c r="B172" t="s">
        <v>8</v>
      </c>
      <c r="C172" t="s">
        <v>30</v>
      </c>
      <c r="D172" t="s">
        <v>33</v>
      </c>
      <c r="E172" s="14" t="s">
        <v>33</v>
      </c>
      <c r="F172" t="s">
        <v>33</v>
      </c>
      <c r="G172" s="14" t="s">
        <v>33</v>
      </c>
      <c r="H172" t="s">
        <v>33</v>
      </c>
      <c r="I172" s="14" t="s">
        <v>33</v>
      </c>
      <c r="J172">
        <v>4</v>
      </c>
      <c r="K172" s="14">
        <f t="shared" si="33"/>
        <v>744</v>
      </c>
      <c r="L172">
        <v>14</v>
      </c>
      <c r="M172" s="14">
        <f t="shared" si="34"/>
        <v>2688</v>
      </c>
      <c r="N172">
        <v>16</v>
      </c>
      <c r="O172" s="14">
        <f t="shared" si="35"/>
        <v>3168</v>
      </c>
      <c r="P172">
        <v>7</v>
      </c>
      <c r="Q172" s="14">
        <f t="shared" si="36"/>
        <v>1428</v>
      </c>
      <c r="R172">
        <v>4</v>
      </c>
      <c r="S172" s="14">
        <f t="shared" si="37"/>
        <v>840</v>
      </c>
      <c r="T172">
        <v>1</v>
      </c>
      <c r="U172" s="14">
        <f t="shared" si="38"/>
        <v>216</v>
      </c>
      <c r="V172" t="s">
        <v>33</v>
      </c>
      <c r="W172" s="14" t="s">
        <v>33</v>
      </c>
      <c r="X172" t="s">
        <v>33</v>
      </c>
      <c r="Y172" s="14" t="s">
        <v>33</v>
      </c>
      <c r="Z172">
        <v>0</v>
      </c>
      <c r="AA172" s="14">
        <f t="shared" si="46"/>
        <v>0</v>
      </c>
      <c r="AB172" t="s">
        <v>33</v>
      </c>
      <c r="AC172" s="14" t="s">
        <v>33</v>
      </c>
      <c r="AD172" t="s">
        <v>33</v>
      </c>
      <c r="AE172" s="14" t="s">
        <v>33</v>
      </c>
      <c r="AF172" t="s">
        <v>33</v>
      </c>
      <c r="AG172" s="14" t="s">
        <v>33</v>
      </c>
      <c r="AH172" t="s">
        <v>33</v>
      </c>
      <c r="AI172" s="14" t="s">
        <v>33</v>
      </c>
      <c r="AJ172" t="s">
        <v>33</v>
      </c>
      <c r="AK172" s="14" t="s">
        <v>33</v>
      </c>
      <c r="AL172" t="s">
        <v>33</v>
      </c>
      <c r="AM172" s="14" t="s">
        <v>33</v>
      </c>
      <c r="AN172" t="s">
        <v>33</v>
      </c>
      <c r="AO172" s="14" t="s">
        <v>33</v>
      </c>
      <c r="AP172" t="s">
        <v>33</v>
      </c>
      <c r="AQ172" s="14" t="s">
        <v>33</v>
      </c>
      <c r="AR172" t="s">
        <v>33</v>
      </c>
      <c r="AS172" s="14" t="s">
        <v>33</v>
      </c>
      <c r="AT172" t="s">
        <v>33</v>
      </c>
      <c r="AU172" s="14" t="s">
        <v>33</v>
      </c>
      <c r="AV172" t="s">
        <v>33</v>
      </c>
      <c r="AW172" s="14" t="s">
        <v>33</v>
      </c>
      <c r="AX172" t="s">
        <v>33</v>
      </c>
      <c r="AY172" s="14" t="s">
        <v>33</v>
      </c>
      <c r="AZ172" t="s">
        <v>33</v>
      </c>
      <c r="BA172" s="14" t="s">
        <v>33</v>
      </c>
      <c r="BB172" t="s">
        <v>33</v>
      </c>
      <c r="BC172" s="14" t="s">
        <v>33</v>
      </c>
      <c r="BD172">
        <f t="shared" si="41"/>
        <v>46</v>
      </c>
      <c r="BE172">
        <f t="shared" si="42"/>
        <v>9084</v>
      </c>
      <c r="BF172">
        <f t="shared" si="43"/>
        <v>197.47826086956522</v>
      </c>
    </row>
    <row r="173" spans="1:59" x14ac:dyDescent="0.2">
      <c r="A173" t="s">
        <v>25</v>
      </c>
      <c r="B173" t="s">
        <v>4</v>
      </c>
      <c r="C173" t="s">
        <v>29</v>
      </c>
      <c r="D173" t="s">
        <v>33</v>
      </c>
      <c r="E173" s="14" t="s">
        <v>33</v>
      </c>
      <c r="F173" t="s">
        <v>33</v>
      </c>
      <c r="G173" s="14" t="s">
        <v>33</v>
      </c>
      <c r="H173" t="s">
        <v>33</v>
      </c>
      <c r="I173" s="14" t="s">
        <v>33</v>
      </c>
      <c r="J173" t="s">
        <v>33</v>
      </c>
      <c r="K173" s="14" t="s">
        <v>33</v>
      </c>
      <c r="L173">
        <v>0</v>
      </c>
      <c r="M173" s="14">
        <f t="shared" si="34"/>
        <v>0</v>
      </c>
      <c r="N173">
        <v>2</v>
      </c>
      <c r="O173" s="14">
        <f t="shared" si="35"/>
        <v>396</v>
      </c>
      <c r="P173">
        <v>8</v>
      </c>
      <c r="Q173" s="14">
        <f t="shared" si="36"/>
        <v>1632</v>
      </c>
      <c r="R173">
        <v>23</v>
      </c>
      <c r="S173" s="14">
        <f t="shared" si="37"/>
        <v>4830</v>
      </c>
      <c r="T173">
        <v>11</v>
      </c>
      <c r="U173" s="14">
        <f t="shared" si="38"/>
        <v>2376</v>
      </c>
      <c r="V173">
        <v>3</v>
      </c>
      <c r="W173" s="14">
        <f t="shared" si="39"/>
        <v>666</v>
      </c>
      <c r="X173">
        <v>4</v>
      </c>
      <c r="Y173" s="14">
        <f t="shared" si="40"/>
        <v>912</v>
      </c>
      <c r="Z173">
        <v>6</v>
      </c>
      <c r="AA173" s="14">
        <f t="shared" si="46"/>
        <v>1404</v>
      </c>
      <c r="AB173">
        <v>3</v>
      </c>
      <c r="AC173" s="14">
        <f>AB173*240</f>
        <v>720</v>
      </c>
      <c r="AD173" t="s">
        <v>33</v>
      </c>
      <c r="AE173" s="14" t="s">
        <v>33</v>
      </c>
      <c r="AF173" t="s">
        <v>33</v>
      </c>
      <c r="AG173" s="14" t="s">
        <v>33</v>
      </c>
      <c r="AH173" t="s">
        <v>33</v>
      </c>
      <c r="AI173" s="14" t="s">
        <v>33</v>
      </c>
      <c r="AJ173" t="s">
        <v>33</v>
      </c>
      <c r="AK173" s="14" t="s">
        <v>33</v>
      </c>
      <c r="AL173" t="s">
        <v>33</v>
      </c>
      <c r="AM173" s="14" t="s">
        <v>33</v>
      </c>
      <c r="AN173" t="s">
        <v>33</v>
      </c>
      <c r="AO173" s="14" t="s">
        <v>33</v>
      </c>
      <c r="AP173" t="s">
        <v>33</v>
      </c>
      <c r="AQ173" s="14" t="s">
        <v>33</v>
      </c>
      <c r="AR173" t="s">
        <v>33</v>
      </c>
      <c r="AS173" s="14" t="s">
        <v>33</v>
      </c>
      <c r="AT173" t="s">
        <v>33</v>
      </c>
      <c r="AU173" s="14" t="s">
        <v>33</v>
      </c>
      <c r="AV173" t="s">
        <v>33</v>
      </c>
      <c r="AW173" s="14" t="s">
        <v>33</v>
      </c>
      <c r="AX173" t="s">
        <v>33</v>
      </c>
      <c r="AY173" s="14" t="s">
        <v>33</v>
      </c>
      <c r="AZ173" t="s">
        <v>33</v>
      </c>
      <c r="BA173" s="14" t="s">
        <v>33</v>
      </c>
      <c r="BB173" t="s">
        <v>33</v>
      </c>
      <c r="BC173" s="14" t="s">
        <v>33</v>
      </c>
      <c r="BD173">
        <f t="shared" si="41"/>
        <v>60</v>
      </c>
      <c r="BE173">
        <f t="shared" si="42"/>
        <v>12936</v>
      </c>
      <c r="BF173">
        <f t="shared" si="43"/>
        <v>215.6</v>
      </c>
      <c r="BG173" t="s">
        <v>45</v>
      </c>
    </row>
    <row r="174" spans="1:59" x14ac:dyDescent="0.2">
      <c r="A174" t="s">
        <v>25</v>
      </c>
      <c r="B174" t="s">
        <v>4</v>
      </c>
      <c r="C174" t="s">
        <v>30</v>
      </c>
      <c r="D174" t="s">
        <v>33</v>
      </c>
      <c r="E174" s="14" t="s">
        <v>33</v>
      </c>
      <c r="F174" t="s">
        <v>33</v>
      </c>
      <c r="G174" s="14" t="s">
        <v>33</v>
      </c>
      <c r="H174" t="s">
        <v>33</v>
      </c>
      <c r="I174" s="14" t="s">
        <v>33</v>
      </c>
      <c r="J174" t="s">
        <v>33</v>
      </c>
      <c r="K174" s="14" t="s">
        <v>33</v>
      </c>
      <c r="L174">
        <v>4</v>
      </c>
      <c r="M174" s="14">
        <f t="shared" si="34"/>
        <v>768</v>
      </c>
      <c r="N174">
        <v>6</v>
      </c>
      <c r="O174" s="14">
        <f t="shared" si="35"/>
        <v>1188</v>
      </c>
      <c r="P174">
        <v>6</v>
      </c>
      <c r="Q174" s="14">
        <f t="shared" si="36"/>
        <v>1224</v>
      </c>
      <c r="R174">
        <v>14</v>
      </c>
      <c r="S174" s="14">
        <f t="shared" si="37"/>
        <v>2940</v>
      </c>
      <c r="T174">
        <v>15</v>
      </c>
      <c r="U174" s="14">
        <f t="shared" si="38"/>
        <v>3240</v>
      </c>
      <c r="V174">
        <v>6</v>
      </c>
      <c r="W174" s="14">
        <f t="shared" si="39"/>
        <v>1332</v>
      </c>
      <c r="X174">
        <v>2</v>
      </c>
      <c r="Y174" s="14">
        <f t="shared" si="40"/>
        <v>456</v>
      </c>
      <c r="Z174">
        <v>3</v>
      </c>
      <c r="AA174" s="14">
        <f t="shared" si="46"/>
        <v>702</v>
      </c>
      <c r="AB174">
        <v>0</v>
      </c>
      <c r="AC174" s="14">
        <f>AB174*240</f>
        <v>0</v>
      </c>
      <c r="AD174" t="s">
        <v>33</v>
      </c>
      <c r="AE174" s="14" t="s">
        <v>33</v>
      </c>
      <c r="AF174" t="s">
        <v>33</v>
      </c>
      <c r="AG174" s="14" t="s">
        <v>33</v>
      </c>
      <c r="AH174" t="s">
        <v>33</v>
      </c>
      <c r="AI174" s="14" t="s">
        <v>33</v>
      </c>
      <c r="AJ174" t="s">
        <v>33</v>
      </c>
      <c r="AK174" s="14" t="s">
        <v>33</v>
      </c>
      <c r="AL174" t="s">
        <v>33</v>
      </c>
      <c r="AM174" s="14" t="s">
        <v>33</v>
      </c>
      <c r="AN174" t="s">
        <v>33</v>
      </c>
      <c r="AO174" s="14" t="s">
        <v>33</v>
      </c>
      <c r="AP174" t="s">
        <v>33</v>
      </c>
      <c r="AQ174" s="14" t="s">
        <v>33</v>
      </c>
      <c r="AR174" t="s">
        <v>33</v>
      </c>
      <c r="AS174" s="14" t="s">
        <v>33</v>
      </c>
      <c r="AT174" t="s">
        <v>33</v>
      </c>
      <c r="AU174" s="14" t="s">
        <v>33</v>
      </c>
      <c r="AV174" t="s">
        <v>33</v>
      </c>
      <c r="AW174" s="14" t="s">
        <v>33</v>
      </c>
      <c r="AX174" t="s">
        <v>33</v>
      </c>
      <c r="AY174" s="14" t="s">
        <v>33</v>
      </c>
      <c r="AZ174" t="s">
        <v>33</v>
      </c>
      <c r="BA174" s="14" t="s">
        <v>33</v>
      </c>
      <c r="BB174" t="s">
        <v>33</v>
      </c>
      <c r="BC174" s="14" t="s">
        <v>33</v>
      </c>
      <c r="BD174">
        <f t="shared" si="41"/>
        <v>56</v>
      </c>
      <c r="BE174">
        <f t="shared" si="42"/>
        <v>11850</v>
      </c>
      <c r="BF174">
        <f t="shared" si="43"/>
        <v>211.60714285714286</v>
      </c>
    </row>
    <row r="175" spans="1:59" x14ac:dyDescent="0.2">
      <c r="A175" t="s">
        <v>25</v>
      </c>
      <c r="B175" t="s">
        <v>5</v>
      </c>
      <c r="C175" t="s">
        <v>29</v>
      </c>
      <c r="D175" t="s">
        <v>33</v>
      </c>
      <c r="E175" s="14" t="s">
        <v>33</v>
      </c>
      <c r="F175" t="s">
        <v>33</v>
      </c>
      <c r="G175" s="14" t="s">
        <v>33</v>
      </c>
      <c r="H175" t="s">
        <v>33</v>
      </c>
      <c r="I175" s="14" t="s">
        <v>33</v>
      </c>
      <c r="J175">
        <v>0</v>
      </c>
      <c r="K175" s="14">
        <f t="shared" si="33"/>
        <v>0</v>
      </c>
      <c r="L175">
        <v>0</v>
      </c>
      <c r="M175" s="14">
        <f t="shared" si="34"/>
        <v>0</v>
      </c>
      <c r="N175">
        <v>6</v>
      </c>
      <c r="O175" s="14">
        <f t="shared" si="35"/>
        <v>1188</v>
      </c>
      <c r="P175">
        <v>13</v>
      </c>
      <c r="Q175" s="14">
        <f t="shared" si="36"/>
        <v>2652</v>
      </c>
      <c r="R175">
        <v>18</v>
      </c>
      <c r="S175" s="14">
        <f t="shared" si="37"/>
        <v>3780</v>
      </c>
      <c r="T175">
        <v>7</v>
      </c>
      <c r="U175" s="14">
        <f t="shared" si="38"/>
        <v>1512</v>
      </c>
      <c r="V175">
        <v>5</v>
      </c>
      <c r="W175" s="14">
        <f t="shared" si="39"/>
        <v>1110</v>
      </c>
      <c r="X175" t="s">
        <v>33</v>
      </c>
      <c r="Y175" s="14" t="s">
        <v>33</v>
      </c>
      <c r="Z175">
        <v>1</v>
      </c>
      <c r="AA175" s="14">
        <f t="shared" si="46"/>
        <v>234</v>
      </c>
      <c r="AB175" t="s">
        <v>33</v>
      </c>
      <c r="AC175" s="14" t="s">
        <v>33</v>
      </c>
      <c r="AD175" t="s">
        <v>33</v>
      </c>
      <c r="AE175" s="14" t="s">
        <v>33</v>
      </c>
      <c r="AF175" t="s">
        <v>33</v>
      </c>
      <c r="AG175" s="14" t="s">
        <v>33</v>
      </c>
      <c r="AH175" t="s">
        <v>33</v>
      </c>
      <c r="AI175" s="14" t="s">
        <v>33</v>
      </c>
      <c r="AJ175" t="s">
        <v>33</v>
      </c>
      <c r="AK175" s="14" t="s">
        <v>33</v>
      </c>
      <c r="AL175" t="s">
        <v>33</v>
      </c>
      <c r="AM175" s="14" t="s">
        <v>33</v>
      </c>
      <c r="AN175" t="s">
        <v>33</v>
      </c>
      <c r="AO175" s="14" t="s">
        <v>33</v>
      </c>
      <c r="AP175" t="s">
        <v>33</v>
      </c>
      <c r="AQ175" s="14" t="s">
        <v>33</v>
      </c>
      <c r="AR175" t="s">
        <v>33</v>
      </c>
      <c r="AS175" s="14" t="s">
        <v>33</v>
      </c>
      <c r="AT175" t="s">
        <v>33</v>
      </c>
      <c r="AU175" s="14" t="s">
        <v>33</v>
      </c>
      <c r="AV175" t="s">
        <v>33</v>
      </c>
      <c r="AW175" s="14" t="s">
        <v>33</v>
      </c>
      <c r="AX175" t="s">
        <v>33</v>
      </c>
      <c r="AY175" s="14" t="s">
        <v>33</v>
      </c>
      <c r="AZ175" t="s">
        <v>33</v>
      </c>
      <c r="BA175" s="14" t="s">
        <v>33</v>
      </c>
      <c r="BB175" t="s">
        <v>33</v>
      </c>
      <c r="BC175" s="14" t="s">
        <v>33</v>
      </c>
      <c r="BD175">
        <f t="shared" si="41"/>
        <v>50</v>
      </c>
      <c r="BE175">
        <f t="shared" si="42"/>
        <v>10476</v>
      </c>
      <c r="BF175">
        <f t="shared" si="43"/>
        <v>209.52</v>
      </c>
    </row>
    <row r="176" spans="1:59" x14ac:dyDescent="0.2">
      <c r="A176" t="s">
        <v>25</v>
      </c>
      <c r="B176" t="s">
        <v>5</v>
      </c>
      <c r="C176" t="s">
        <v>30</v>
      </c>
      <c r="D176" t="s">
        <v>33</v>
      </c>
      <c r="E176" s="14" t="s">
        <v>33</v>
      </c>
      <c r="F176" t="s">
        <v>33</v>
      </c>
      <c r="G176" s="14" t="s">
        <v>33</v>
      </c>
      <c r="H176" t="s">
        <v>33</v>
      </c>
      <c r="I176" s="14" t="s">
        <v>33</v>
      </c>
      <c r="J176">
        <v>1</v>
      </c>
      <c r="K176" s="14">
        <f t="shared" si="33"/>
        <v>186</v>
      </c>
      <c r="L176">
        <v>6</v>
      </c>
      <c r="M176" s="14">
        <f t="shared" si="34"/>
        <v>1152</v>
      </c>
      <c r="N176">
        <v>14</v>
      </c>
      <c r="O176" s="14">
        <f t="shared" si="35"/>
        <v>2772</v>
      </c>
      <c r="P176">
        <v>4</v>
      </c>
      <c r="Q176" s="14">
        <f t="shared" si="36"/>
        <v>816</v>
      </c>
      <c r="R176">
        <v>12</v>
      </c>
      <c r="S176" s="14">
        <f t="shared" si="37"/>
        <v>2520</v>
      </c>
      <c r="T176">
        <v>4</v>
      </c>
      <c r="U176" s="14">
        <f t="shared" si="38"/>
        <v>864</v>
      </c>
      <c r="V176">
        <v>1</v>
      </c>
      <c r="W176" s="14">
        <f t="shared" si="39"/>
        <v>222</v>
      </c>
      <c r="X176" t="s">
        <v>33</v>
      </c>
      <c r="Y176" s="14" t="s">
        <v>33</v>
      </c>
      <c r="Z176">
        <v>0</v>
      </c>
      <c r="AA176" s="14">
        <f t="shared" si="46"/>
        <v>0</v>
      </c>
      <c r="AB176" t="s">
        <v>33</v>
      </c>
      <c r="AC176" s="14" t="s">
        <v>33</v>
      </c>
      <c r="AD176" t="s">
        <v>33</v>
      </c>
      <c r="AE176" s="14" t="s">
        <v>33</v>
      </c>
      <c r="AF176" t="s">
        <v>33</v>
      </c>
      <c r="AG176" s="14" t="s">
        <v>33</v>
      </c>
      <c r="AH176" t="s">
        <v>33</v>
      </c>
      <c r="AI176" s="14" t="s">
        <v>33</v>
      </c>
      <c r="AJ176" t="s">
        <v>33</v>
      </c>
      <c r="AK176" s="14" t="s">
        <v>33</v>
      </c>
      <c r="AL176" t="s">
        <v>33</v>
      </c>
      <c r="AM176" s="14" t="s">
        <v>33</v>
      </c>
      <c r="AN176" t="s">
        <v>33</v>
      </c>
      <c r="AO176" s="14" t="s">
        <v>33</v>
      </c>
      <c r="AP176" t="s">
        <v>33</v>
      </c>
      <c r="AQ176" s="14" t="s">
        <v>33</v>
      </c>
      <c r="AR176" t="s">
        <v>33</v>
      </c>
      <c r="AS176" s="14" t="s">
        <v>33</v>
      </c>
      <c r="AT176" t="s">
        <v>33</v>
      </c>
      <c r="AU176" s="14" t="s">
        <v>33</v>
      </c>
      <c r="AV176" t="s">
        <v>33</v>
      </c>
      <c r="AW176" s="14" t="s">
        <v>33</v>
      </c>
      <c r="AX176" t="s">
        <v>33</v>
      </c>
      <c r="AY176" s="14" t="s">
        <v>33</v>
      </c>
      <c r="AZ176" t="s">
        <v>33</v>
      </c>
      <c r="BA176" s="14" t="s">
        <v>33</v>
      </c>
      <c r="BB176" t="s">
        <v>33</v>
      </c>
      <c r="BC176" s="14" t="s">
        <v>33</v>
      </c>
      <c r="BD176">
        <f t="shared" si="41"/>
        <v>42</v>
      </c>
      <c r="BE176">
        <f t="shared" si="42"/>
        <v>8532</v>
      </c>
      <c r="BF176">
        <f t="shared" si="43"/>
        <v>203.14285714285714</v>
      </c>
    </row>
    <row r="177" spans="1:59" x14ac:dyDescent="0.2">
      <c r="A177" t="s">
        <v>25</v>
      </c>
      <c r="B177" t="s">
        <v>6</v>
      </c>
      <c r="C177" t="s">
        <v>29</v>
      </c>
      <c r="D177" t="s">
        <v>33</v>
      </c>
      <c r="E177" s="14" t="s">
        <v>33</v>
      </c>
      <c r="F177" t="s">
        <v>33</v>
      </c>
      <c r="G177" s="14" t="s">
        <v>33</v>
      </c>
      <c r="H177" t="s">
        <v>33</v>
      </c>
      <c r="I177" s="14" t="s">
        <v>33</v>
      </c>
      <c r="J177" t="s">
        <v>33</v>
      </c>
      <c r="K177" s="14" t="s">
        <v>33</v>
      </c>
      <c r="L177">
        <v>0</v>
      </c>
      <c r="M177" s="14">
        <f t="shared" si="34"/>
        <v>0</v>
      </c>
      <c r="N177">
        <v>8</v>
      </c>
      <c r="O177" s="14">
        <f t="shared" si="35"/>
        <v>1584</v>
      </c>
      <c r="P177">
        <v>8</v>
      </c>
      <c r="Q177" s="14">
        <f t="shared" si="36"/>
        <v>1632</v>
      </c>
      <c r="R177">
        <v>17</v>
      </c>
      <c r="S177" s="14">
        <f t="shared" si="37"/>
        <v>3570</v>
      </c>
      <c r="T177">
        <v>6</v>
      </c>
      <c r="U177" s="14">
        <f t="shared" si="38"/>
        <v>1296</v>
      </c>
      <c r="V177">
        <v>6</v>
      </c>
      <c r="W177" s="14">
        <f t="shared" si="39"/>
        <v>1332</v>
      </c>
      <c r="X177" t="s">
        <v>33</v>
      </c>
      <c r="Y177" s="14" t="s">
        <v>33</v>
      </c>
      <c r="Z177">
        <v>0</v>
      </c>
      <c r="AA177" s="14">
        <f t="shared" si="46"/>
        <v>0</v>
      </c>
      <c r="AB177" t="s">
        <v>33</v>
      </c>
      <c r="AC177" s="14" t="s">
        <v>33</v>
      </c>
      <c r="AD177" t="s">
        <v>33</v>
      </c>
      <c r="AE177" s="14" t="s">
        <v>33</v>
      </c>
      <c r="AF177" t="s">
        <v>33</v>
      </c>
      <c r="AG177" s="14" t="s">
        <v>33</v>
      </c>
      <c r="AH177">
        <v>0</v>
      </c>
      <c r="AI177" s="14">
        <f>AH177*258</f>
        <v>0</v>
      </c>
      <c r="AJ177" t="s">
        <v>33</v>
      </c>
      <c r="AK177" s="14" t="s">
        <v>33</v>
      </c>
      <c r="AL177" t="s">
        <v>33</v>
      </c>
      <c r="AM177" s="14" t="s">
        <v>33</v>
      </c>
      <c r="AN177" t="s">
        <v>33</v>
      </c>
      <c r="AO177" s="14" t="s">
        <v>33</v>
      </c>
      <c r="AP177" t="s">
        <v>33</v>
      </c>
      <c r="AQ177" s="14" t="s">
        <v>33</v>
      </c>
      <c r="AR177" t="s">
        <v>33</v>
      </c>
      <c r="AS177" s="14" t="s">
        <v>33</v>
      </c>
      <c r="AT177" t="s">
        <v>33</v>
      </c>
      <c r="AU177" s="14" t="s">
        <v>33</v>
      </c>
      <c r="AV177" t="s">
        <v>33</v>
      </c>
      <c r="AW177" s="14" t="s">
        <v>33</v>
      </c>
      <c r="AX177" t="s">
        <v>33</v>
      </c>
      <c r="AY177" s="14" t="s">
        <v>33</v>
      </c>
      <c r="AZ177" t="s">
        <v>33</v>
      </c>
      <c r="BA177" s="14" t="s">
        <v>33</v>
      </c>
      <c r="BB177" t="s">
        <v>33</v>
      </c>
      <c r="BC177" s="14" t="s">
        <v>33</v>
      </c>
      <c r="BD177">
        <f t="shared" si="41"/>
        <v>45</v>
      </c>
      <c r="BE177">
        <f t="shared" si="42"/>
        <v>9414</v>
      </c>
      <c r="BF177">
        <f t="shared" si="43"/>
        <v>209.2</v>
      </c>
    </row>
    <row r="178" spans="1:59" x14ac:dyDescent="0.2">
      <c r="A178" t="s">
        <v>25</v>
      </c>
      <c r="B178" t="s">
        <v>6</v>
      </c>
      <c r="C178" t="s">
        <v>30</v>
      </c>
      <c r="D178" t="s">
        <v>33</v>
      </c>
      <c r="E178" s="14" t="s">
        <v>33</v>
      </c>
      <c r="F178" t="s">
        <v>33</v>
      </c>
      <c r="G178" s="14" t="s">
        <v>33</v>
      </c>
      <c r="H178" t="s">
        <v>33</v>
      </c>
      <c r="I178" s="14" t="s">
        <v>33</v>
      </c>
      <c r="J178" t="s">
        <v>33</v>
      </c>
      <c r="K178" s="14" t="s">
        <v>33</v>
      </c>
      <c r="L178">
        <v>5</v>
      </c>
      <c r="M178" s="14">
        <f t="shared" si="34"/>
        <v>960</v>
      </c>
      <c r="N178">
        <v>14</v>
      </c>
      <c r="O178" s="14">
        <f t="shared" si="35"/>
        <v>2772</v>
      </c>
      <c r="P178">
        <v>6</v>
      </c>
      <c r="Q178" s="14">
        <f t="shared" si="36"/>
        <v>1224</v>
      </c>
      <c r="R178">
        <v>10</v>
      </c>
      <c r="S178" s="14">
        <f t="shared" si="37"/>
        <v>2100</v>
      </c>
      <c r="T178">
        <v>6</v>
      </c>
      <c r="U178" s="14">
        <f t="shared" si="38"/>
        <v>1296</v>
      </c>
      <c r="V178">
        <v>3</v>
      </c>
      <c r="W178" s="14">
        <f t="shared" si="39"/>
        <v>666</v>
      </c>
      <c r="X178" t="s">
        <v>33</v>
      </c>
      <c r="Y178" s="14" t="s">
        <v>33</v>
      </c>
      <c r="Z178">
        <v>1</v>
      </c>
      <c r="AA178" s="14">
        <f t="shared" si="46"/>
        <v>234</v>
      </c>
      <c r="AB178" t="s">
        <v>33</v>
      </c>
      <c r="AC178" s="14" t="s">
        <v>33</v>
      </c>
      <c r="AD178" t="s">
        <v>33</v>
      </c>
      <c r="AE178" s="14" t="s">
        <v>33</v>
      </c>
      <c r="AF178" t="s">
        <v>33</v>
      </c>
      <c r="AG178" s="14" t="s">
        <v>33</v>
      </c>
      <c r="AH178">
        <v>1</v>
      </c>
      <c r="AI178" s="14">
        <f>AH178*258</f>
        <v>258</v>
      </c>
      <c r="AJ178" t="s">
        <v>33</v>
      </c>
      <c r="AK178" s="14" t="s">
        <v>33</v>
      </c>
      <c r="AL178" t="s">
        <v>33</v>
      </c>
      <c r="AM178" s="14" t="s">
        <v>33</v>
      </c>
      <c r="AN178" t="s">
        <v>33</v>
      </c>
      <c r="AO178" s="14" t="s">
        <v>33</v>
      </c>
      <c r="AP178" t="s">
        <v>33</v>
      </c>
      <c r="AQ178" s="14" t="s">
        <v>33</v>
      </c>
      <c r="AR178" t="s">
        <v>33</v>
      </c>
      <c r="AS178" s="14" t="s">
        <v>33</v>
      </c>
      <c r="AT178" t="s">
        <v>33</v>
      </c>
      <c r="AU178" s="14" t="s">
        <v>33</v>
      </c>
      <c r="AV178" t="s">
        <v>33</v>
      </c>
      <c r="AW178" s="14" t="s">
        <v>33</v>
      </c>
      <c r="AX178" t="s">
        <v>33</v>
      </c>
      <c r="AY178" s="14" t="s">
        <v>33</v>
      </c>
      <c r="AZ178" t="s">
        <v>33</v>
      </c>
      <c r="BA178" s="14" t="s">
        <v>33</v>
      </c>
      <c r="BB178" t="s">
        <v>33</v>
      </c>
      <c r="BC178" s="14" t="s">
        <v>33</v>
      </c>
      <c r="BD178">
        <f t="shared" si="41"/>
        <v>46</v>
      </c>
      <c r="BE178">
        <f t="shared" si="42"/>
        <v>9510</v>
      </c>
      <c r="BF178">
        <f t="shared" si="43"/>
        <v>206.7391304347826</v>
      </c>
    </row>
    <row r="179" spans="1:59" x14ac:dyDescent="0.2">
      <c r="A179" t="s">
        <v>25</v>
      </c>
      <c r="B179" t="s">
        <v>7</v>
      </c>
      <c r="C179" t="s">
        <v>29</v>
      </c>
      <c r="D179" t="s">
        <v>33</v>
      </c>
      <c r="E179" s="14" t="s">
        <v>33</v>
      </c>
      <c r="F179" t="s">
        <v>33</v>
      </c>
      <c r="G179" s="14" t="s">
        <v>33</v>
      </c>
      <c r="H179" t="s">
        <v>33</v>
      </c>
      <c r="I179" s="14" t="s">
        <v>33</v>
      </c>
      <c r="J179" t="s">
        <v>33</v>
      </c>
      <c r="K179" s="14" t="s">
        <v>33</v>
      </c>
      <c r="L179">
        <v>1</v>
      </c>
      <c r="M179" s="14">
        <f t="shared" si="34"/>
        <v>192</v>
      </c>
      <c r="N179">
        <v>8</v>
      </c>
      <c r="O179" s="14">
        <f t="shared" si="35"/>
        <v>1584</v>
      </c>
      <c r="P179">
        <v>14</v>
      </c>
      <c r="Q179" s="14">
        <f t="shared" si="36"/>
        <v>2856</v>
      </c>
      <c r="R179">
        <v>16</v>
      </c>
      <c r="S179" s="14">
        <f t="shared" si="37"/>
        <v>3360</v>
      </c>
      <c r="T179">
        <v>4</v>
      </c>
      <c r="U179" s="14">
        <f t="shared" si="38"/>
        <v>864</v>
      </c>
      <c r="V179">
        <v>2</v>
      </c>
      <c r="W179" s="14">
        <f t="shared" si="39"/>
        <v>444</v>
      </c>
      <c r="X179">
        <v>1</v>
      </c>
      <c r="Y179" s="14">
        <f t="shared" si="40"/>
        <v>228</v>
      </c>
      <c r="Z179" t="s">
        <v>33</v>
      </c>
      <c r="AA179" s="14" t="s">
        <v>33</v>
      </c>
      <c r="AB179" t="s">
        <v>33</v>
      </c>
      <c r="AC179" s="14" t="s">
        <v>33</v>
      </c>
      <c r="AD179" t="s">
        <v>33</v>
      </c>
      <c r="AE179" s="14" t="s">
        <v>33</v>
      </c>
      <c r="AF179" t="s">
        <v>33</v>
      </c>
      <c r="AG179" s="14" t="s">
        <v>33</v>
      </c>
      <c r="AH179" t="s">
        <v>33</v>
      </c>
      <c r="AI179" s="14" t="s">
        <v>33</v>
      </c>
      <c r="AJ179" t="s">
        <v>33</v>
      </c>
      <c r="AK179" s="14" t="s">
        <v>33</v>
      </c>
      <c r="AL179" t="s">
        <v>33</v>
      </c>
      <c r="AM179" s="14" t="s">
        <v>33</v>
      </c>
      <c r="AN179" t="s">
        <v>33</v>
      </c>
      <c r="AO179" s="14" t="s">
        <v>33</v>
      </c>
      <c r="AP179" t="s">
        <v>33</v>
      </c>
      <c r="AQ179" s="14" t="s">
        <v>33</v>
      </c>
      <c r="AR179" t="s">
        <v>33</v>
      </c>
      <c r="AS179" s="14" t="s">
        <v>33</v>
      </c>
      <c r="AT179" t="s">
        <v>33</v>
      </c>
      <c r="AU179" s="14" t="s">
        <v>33</v>
      </c>
      <c r="AV179" t="s">
        <v>33</v>
      </c>
      <c r="AW179" s="14" t="s">
        <v>33</v>
      </c>
      <c r="AX179" t="s">
        <v>33</v>
      </c>
      <c r="AY179" s="14" t="s">
        <v>33</v>
      </c>
      <c r="AZ179" t="s">
        <v>33</v>
      </c>
      <c r="BA179" s="14" t="s">
        <v>33</v>
      </c>
      <c r="BB179" t="s">
        <v>33</v>
      </c>
      <c r="BC179" s="14" t="s">
        <v>33</v>
      </c>
      <c r="BD179">
        <f t="shared" si="41"/>
        <v>46</v>
      </c>
      <c r="BE179">
        <f t="shared" si="42"/>
        <v>9528</v>
      </c>
      <c r="BF179">
        <f t="shared" si="43"/>
        <v>207.13043478260869</v>
      </c>
    </row>
    <row r="180" spans="1:59" x14ac:dyDescent="0.2">
      <c r="A180" t="s">
        <v>25</v>
      </c>
      <c r="B180" t="s">
        <v>7</v>
      </c>
      <c r="C180" t="s">
        <v>30</v>
      </c>
      <c r="D180" t="s">
        <v>33</v>
      </c>
      <c r="E180" s="14" t="s">
        <v>33</v>
      </c>
      <c r="F180" t="s">
        <v>33</v>
      </c>
      <c r="G180" s="14" t="s">
        <v>33</v>
      </c>
      <c r="H180" t="s">
        <v>33</v>
      </c>
      <c r="I180" s="14" t="s">
        <v>33</v>
      </c>
      <c r="J180" t="s">
        <v>33</v>
      </c>
      <c r="K180" s="14" t="s">
        <v>33</v>
      </c>
      <c r="L180">
        <v>5</v>
      </c>
      <c r="M180" s="14">
        <f t="shared" si="34"/>
        <v>960</v>
      </c>
      <c r="N180">
        <v>10</v>
      </c>
      <c r="O180" s="14">
        <f t="shared" si="35"/>
        <v>1980</v>
      </c>
      <c r="P180">
        <v>12</v>
      </c>
      <c r="Q180" s="14">
        <f t="shared" si="36"/>
        <v>2448</v>
      </c>
      <c r="R180">
        <v>12</v>
      </c>
      <c r="S180" s="14">
        <f t="shared" si="37"/>
        <v>2520</v>
      </c>
      <c r="T180">
        <v>4</v>
      </c>
      <c r="U180" s="14">
        <f t="shared" si="38"/>
        <v>864</v>
      </c>
      <c r="V180">
        <v>1</v>
      </c>
      <c r="W180" s="14">
        <f t="shared" si="39"/>
        <v>222</v>
      </c>
      <c r="X180">
        <v>0</v>
      </c>
      <c r="Y180" s="14">
        <f t="shared" si="40"/>
        <v>0</v>
      </c>
      <c r="Z180" t="s">
        <v>33</v>
      </c>
      <c r="AA180" s="14" t="s">
        <v>33</v>
      </c>
      <c r="AB180" t="s">
        <v>33</v>
      </c>
      <c r="AC180" s="14" t="s">
        <v>33</v>
      </c>
      <c r="AD180" t="s">
        <v>33</v>
      </c>
      <c r="AE180" s="14" t="s">
        <v>33</v>
      </c>
      <c r="AF180" t="s">
        <v>33</v>
      </c>
      <c r="AG180" s="14" t="s">
        <v>33</v>
      </c>
      <c r="AH180" t="s">
        <v>33</v>
      </c>
      <c r="AI180" s="14" t="s">
        <v>33</v>
      </c>
      <c r="AJ180" t="s">
        <v>33</v>
      </c>
      <c r="AK180" s="14" t="s">
        <v>33</v>
      </c>
      <c r="AL180" t="s">
        <v>33</v>
      </c>
      <c r="AM180" s="14" t="s">
        <v>33</v>
      </c>
      <c r="AN180" t="s">
        <v>33</v>
      </c>
      <c r="AO180" s="14" t="s">
        <v>33</v>
      </c>
      <c r="AP180" t="s">
        <v>33</v>
      </c>
      <c r="AQ180" s="14" t="s">
        <v>33</v>
      </c>
      <c r="AR180" t="s">
        <v>33</v>
      </c>
      <c r="AS180" s="14" t="s">
        <v>33</v>
      </c>
      <c r="AT180" t="s">
        <v>33</v>
      </c>
      <c r="AU180" s="14" t="s">
        <v>33</v>
      </c>
      <c r="AV180" t="s">
        <v>33</v>
      </c>
      <c r="AW180" s="14" t="s">
        <v>33</v>
      </c>
      <c r="AX180" t="s">
        <v>33</v>
      </c>
      <c r="AY180" s="14" t="s">
        <v>33</v>
      </c>
      <c r="AZ180" t="s">
        <v>33</v>
      </c>
      <c r="BA180" s="14" t="s">
        <v>33</v>
      </c>
      <c r="BB180" t="s">
        <v>33</v>
      </c>
      <c r="BC180" s="14" t="s">
        <v>33</v>
      </c>
      <c r="BD180">
        <f t="shared" si="41"/>
        <v>44</v>
      </c>
      <c r="BE180">
        <f t="shared" si="42"/>
        <v>8994</v>
      </c>
      <c r="BF180">
        <f t="shared" si="43"/>
        <v>204.40909090909091</v>
      </c>
    </row>
    <row r="181" spans="1:59" x14ac:dyDescent="0.2">
      <c r="A181" t="s">
        <v>25</v>
      </c>
      <c r="B181" t="s">
        <v>8</v>
      </c>
      <c r="C181" t="s">
        <v>29</v>
      </c>
      <c r="D181" t="s">
        <v>33</v>
      </c>
      <c r="E181" s="14" t="s">
        <v>33</v>
      </c>
      <c r="F181" t="s">
        <v>33</v>
      </c>
      <c r="G181" s="14" t="s">
        <v>33</v>
      </c>
      <c r="H181" t="s">
        <v>33</v>
      </c>
      <c r="I181" s="14" t="s">
        <v>33</v>
      </c>
      <c r="J181" t="s">
        <v>33</v>
      </c>
      <c r="K181" s="14" t="s">
        <v>33</v>
      </c>
      <c r="L181">
        <v>1</v>
      </c>
      <c r="M181" s="14">
        <f t="shared" si="34"/>
        <v>192</v>
      </c>
      <c r="N181">
        <v>5</v>
      </c>
      <c r="O181" s="14">
        <f t="shared" si="35"/>
        <v>990</v>
      </c>
      <c r="P181">
        <v>12</v>
      </c>
      <c r="Q181" s="14">
        <f t="shared" si="36"/>
        <v>2448</v>
      </c>
      <c r="R181">
        <v>13</v>
      </c>
      <c r="S181" s="14">
        <f t="shared" si="37"/>
        <v>2730</v>
      </c>
      <c r="T181">
        <v>8</v>
      </c>
      <c r="U181" s="14">
        <f t="shared" si="38"/>
        <v>1728</v>
      </c>
      <c r="V181">
        <v>4</v>
      </c>
      <c r="W181" s="14">
        <f t="shared" si="39"/>
        <v>888</v>
      </c>
      <c r="X181">
        <v>3</v>
      </c>
      <c r="Y181" s="14">
        <f t="shared" si="40"/>
        <v>684</v>
      </c>
      <c r="Z181">
        <v>2</v>
      </c>
      <c r="AA181" s="14">
        <f>Z181*234</f>
        <v>468</v>
      </c>
      <c r="AB181">
        <v>0</v>
      </c>
      <c r="AC181" s="14">
        <f>AB181*240</f>
        <v>0</v>
      </c>
      <c r="AD181" t="s">
        <v>33</v>
      </c>
      <c r="AE181" s="14" t="s">
        <v>33</v>
      </c>
      <c r="AF181" t="s">
        <v>33</v>
      </c>
      <c r="AG181" s="14" t="s">
        <v>33</v>
      </c>
      <c r="AH181" t="s">
        <v>33</v>
      </c>
      <c r="AI181" s="14" t="s">
        <v>33</v>
      </c>
      <c r="AJ181" t="s">
        <v>33</v>
      </c>
      <c r="AK181" s="14" t="s">
        <v>33</v>
      </c>
      <c r="AL181" t="s">
        <v>33</v>
      </c>
      <c r="AM181" s="14" t="s">
        <v>33</v>
      </c>
      <c r="AN181" t="s">
        <v>33</v>
      </c>
      <c r="AO181" s="14" t="s">
        <v>33</v>
      </c>
      <c r="AP181" t="s">
        <v>33</v>
      </c>
      <c r="AQ181" s="14" t="s">
        <v>33</v>
      </c>
      <c r="AR181" t="s">
        <v>33</v>
      </c>
      <c r="AS181" s="14" t="s">
        <v>33</v>
      </c>
      <c r="AT181" t="s">
        <v>33</v>
      </c>
      <c r="AU181" s="14" t="s">
        <v>33</v>
      </c>
      <c r="AV181" t="s">
        <v>33</v>
      </c>
      <c r="AW181" s="14" t="s">
        <v>33</v>
      </c>
      <c r="AX181" t="s">
        <v>33</v>
      </c>
      <c r="AY181" s="14" t="s">
        <v>33</v>
      </c>
      <c r="AZ181" t="s">
        <v>33</v>
      </c>
      <c r="BA181" s="14" t="s">
        <v>33</v>
      </c>
      <c r="BB181">
        <v>1</v>
      </c>
      <c r="BC181" s="14">
        <f>BB181*354</f>
        <v>354</v>
      </c>
      <c r="BD181">
        <f t="shared" si="41"/>
        <v>49</v>
      </c>
      <c r="BE181">
        <f t="shared" si="42"/>
        <v>10482</v>
      </c>
      <c r="BF181">
        <f t="shared" si="43"/>
        <v>213.91836734693877</v>
      </c>
    </row>
    <row r="182" spans="1:59" x14ac:dyDescent="0.2">
      <c r="A182" t="s">
        <v>25</v>
      </c>
      <c r="B182" t="s">
        <v>8</v>
      </c>
      <c r="C182" t="s">
        <v>30</v>
      </c>
      <c r="D182" t="s">
        <v>33</v>
      </c>
      <c r="E182" s="14" t="s">
        <v>33</v>
      </c>
      <c r="F182" t="s">
        <v>33</v>
      </c>
      <c r="G182" s="14" t="s">
        <v>33</v>
      </c>
      <c r="H182" t="s">
        <v>33</v>
      </c>
      <c r="I182" s="14" t="s">
        <v>33</v>
      </c>
      <c r="J182" t="s">
        <v>33</v>
      </c>
      <c r="K182" s="14" t="s">
        <v>33</v>
      </c>
      <c r="L182">
        <v>7</v>
      </c>
      <c r="M182" s="14">
        <f t="shared" si="34"/>
        <v>1344</v>
      </c>
      <c r="N182">
        <v>16</v>
      </c>
      <c r="O182" s="14">
        <f t="shared" si="35"/>
        <v>3168</v>
      </c>
      <c r="P182">
        <v>11</v>
      </c>
      <c r="Q182" s="14">
        <f t="shared" si="36"/>
        <v>2244</v>
      </c>
      <c r="R182">
        <v>17</v>
      </c>
      <c r="S182" s="14">
        <f t="shared" si="37"/>
        <v>3570</v>
      </c>
      <c r="T182">
        <v>5</v>
      </c>
      <c r="U182" s="14">
        <f t="shared" si="38"/>
        <v>1080</v>
      </c>
      <c r="V182">
        <v>4</v>
      </c>
      <c r="W182" s="14">
        <f t="shared" si="39"/>
        <v>888</v>
      </c>
      <c r="X182">
        <v>1</v>
      </c>
      <c r="Y182" s="14">
        <f t="shared" si="40"/>
        <v>228</v>
      </c>
      <c r="Z182">
        <v>1</v>
      </c>
      <c r="AA182" s="14">
        <f>Z182*234</f>
        <v>234</v>
      </c>
      <c r="AB182">
        <v>1</v>
      </c>
      <c r="AC182" s="14">
        <f>AB182*240</f>
        <v>240</v>
      </c>
      <c r="AD182" t="s">
        <v>33</v>
      </c>
      <c r="AE182" s="14" t="s">
        <v>33</v>
      </c>
      <c r="AF182" t="s">
        <v>33</v>
      </c>
      <c r="AG182" s="14" t="s">
        <v>33</v>
      </c>
      <c r="AH182" t="s">
        <v>33</v>
      </c>
      <c r="AI182" s="14" t="s">
        <v>33</v>
      </c>
      <c r="AJ182" t="s">
        <v>33</v>
      </c>
      <c r="AK182" s="14" t="s">
        <v>33</v>
      </c>
      <c r="AL182" t="s">
        <v>33</v>
      </c>
      <c r="AM182" s="14" t="s">
        <v>33</v>
      </c>
      <c r="AN182" t="s">
        <v>33</v>
      </c>
      <c r="AO182" s="14" t="s">
        <v>33</v>
      </c>
      <c r="AP182" t="s">
        <v>33</v>
      </c>
      <c r="AQ182" s="14" t="s">
        <v>33</v>
      </c>
      <c r="AR182" t="s">
        <v>33</v>
      </c>
      <c r="AS182" s="14" t="s">
        <v>33</v>
      </c>
      <c r="AT182" t="s">
        <v>33</v>
      </c>
      <c r="AU182" s="14" t="s">
        <v>33</v>
      </c>
      <c r="AV182" t="s">
        <v>33</v>
      </c>
      <c r="AW182" s="14" t="s">
        <v>33</v>
      </c>
      <c r="AX182" t="s">
        <v>33</v>
      </c>
      <c r="AY182" s="14" t="s">
        <v>33</v>
      </c>
      <c r="AZ182" t="s">
        <v>33</v>
      </c>
      <c r="BA182" s="14" t="s">
        <v>33</v>
      </c>
      <c r="BB182">
        <v>0</v>
      </c>
      <c r="BC182" s="14">
        <f>BB182*354</f>
        <v>0</v>
      </c>
      <c r="BD182">
        <f t="shared" si="41"/>
        <v>63</v>
      </c>
      <c r="BE182">
        <f t="shared" si="42"/>
        <v>12996</v>
      </c>
      <c r="BF182">
        <f t="shared" si="43"/>
        <v>206.28571428571428</v>
      </c>
    </row>
    <row r="183" spans="1:59" x14ac:dyDescent="0.2">
      <c r="A183" t="s">
        <v>26</v>
      </c>
      <c r="B183" t="s">
        <v>4</v>
      </c>
      <c r="C183" t="s">
        <v>29</v>
      </c>
      <c r="D183" t="s">
        <v>33</v>
      </c>
      <c r="E183" s="14" t="s">
        <v>33</v>
      </c>
      <c r="F183" t="s">
        <v>33</v>
      </c>
      <c r="G183" s="14" t="s">
        <v>33</v>
      </c>
      <c r="H183" t="s">
        <v>33</v>
      </c>
      <c r="I183" s="14" t="s">
        <v>33</v>
      </c>
      <c r="J183">
        <v>0</v>
      </c>
      <c r="K183" s="14">
        <f t="shared" si="33"/>
        <v>0</v>
      </c>
      <c r="L183">
        <v>1</v>
      </c>
      <c r="M183" s="14">
        <f t="shared" si="34"/>
        <v>192</v>
      </c>
      <c r="N183">
        <v>10</v>
      </c>
      <c r="O183" s="14">
        <f t="shared" si="35"/>
        <v>1980</v>
      </c>
      <c r="P183">
        <v>12</v>
      </c>
      <c r="Q183" s="14">
        <f t="shared" si="36"/>
        <v>2448</v>
      </c>
      <c r="R183">
        <v>11</v>
      </c>
      <c r="S183" s="14">
        <f t="shared" si="37"/>
        <v>2310</v>
      </c>
      <c r="T183">
        <v>2</v>
      </c>
      <c r="U183" s="14">
        <f t="shared" si="38"/>
        <v>432</v>
      </c>
      <c r="V183" t="s">
        <v>33</v>
      </c>
      <c r="W183" s="14" t="s">
        <v>33</v>
      </c>
      <c r="X183" t="s">
        <v>33</v>
      </c>
      <c r="Y183" s="14" t="s">
        <v>33</v>
      </c>
      <c r="Z183" t="s">
        <v>33</v>
      </c>
      <c r="AA183" s="14" t="s">
        <v>33</v>
      </c>
      <c r="AB183" t="s">
        <v>33</v>
      </c>
      <c r="AC183" s="14" t="s">
        <v>33</v>
      </c>
      <c r="AD183" t="s">
        <v>33</v>
      </c>
      <c r="AE183" s="14" t="s">
        <v>33</v>
      </c>
      <c r="AF183" t="s">
        <v>33</v>
      </c>
      <c r="AG183" s="14" t="s">
        <v>33</v>
      </c>
      <c r="AH183" t="s">
        <v>33</v>
      </c>
      <c r="AI183" s="14" t="s">
        <v>33</v>
      </c>
      <c r="AJ183" t="s">
        <v>33</v>
      </c>
      <c r="AK183" s="14" t="s">
        <v>33</v>
      </c>
      <c r="AL183" t="s">
        <v>33</v>
      </c>
      <c r="AM183" s="14" t="s">
        <v>33</v>
      </c>
      <c r="AN183" t="s">
        <v>33</v>
      </c>
      <c r="AO183" s="14" t="s">
        <v>33</v>
      </c>
      <c r="AP183" t="s">
        <v>33</v>
      </c>
      <c r="AQ183" s="14" t="s">
        <v>33</v>
      </c>
      <c r="AR183" t="s">
        <v>33</v>
      </c>
      <c r="AS183" s="14" t="s">
        <v>33</v>
      </c>
      <c r="AT183" t="s">
        <v>33</v>
      </c>
      <c r="AU183" s="14" t="s">
        <v>33</v>
      </c>
      <c r="AV183" t="s">
        <v>33</v>
      </c>
      <c r="AW183" s="14" t="s">
        <v>33</v>
      </c>
      <c r="AX183" t="s">
        <v>33</v>
      </c>
      <c r="AY183" s="14" t="s">
        <v>33</v>
      </c>
      <c r="AZ183" t="s">
        <v>33</v>
      </c>
      <c r="BA183" s="14" t="s">
        <v>33</v>
      </c>
      <c r="BB183" t="s">
        <v>33</v>
      </c>
      <c r="BC183" s="14" t="s">
        <v>33</v>
      </c>
      <c r="BD183">
        <f t="shared" si="41"/>
        <v>36</v>
      </c>
      <c r="BE183">
        <f t="shared" si="42"/>
        <v>7362</v>
      </c>
      <c r="BF183">
        <f t="shared" si="43"/>
        <v>204.5</v>
      </c>
      <c r="BG183" t="s">
        <v>37</v>
      </c>
    </row>
    <row r="184" spans="1:59" x14ac:dyDescent="0.2">
      <c r="A184" t="s">
        <v>26</v>
      </c>
      <c r="B184" t="s">
        <v>4</v>
      </c>
      <c r="C184" t="s">
        <v>30</v>
      </c>
      <c r="D184" t="s">
        <v>33</v>
      </c>
      <c r="E184" s="14" t="s">
        <v>33</v>
      </c>
      <c r="F184" t="s">
        <v>33</v>
      </c>
      <c r="G184" s="14" t="s">
        <v>33</v>
      </c>
      <c r="H184" t="s">
        <v>33</v>
      </c>
      <c r="I184" s="14" t="s">
        <v>33</v>
      </c>
      <c r="J184">
        <v>1</v>
      </c>
      <c r="K184" s="14">
        <f t="shared" si="33"/>
        <v>186</v>
      </c>
      <c r="L184">
        <v>12</v>
      </c>
      <c r="M184" s="14">
        <f t="shared" si="34"/>
        <v>2304</v>
      </c>
      <c r="N184">
        <v>15</v>
      </c>
      <c r="O184" s="14">
        <f t="shared" si="35"/>
        <v>2970</v>
      </c>
      <c r="P184">
        <v>11</v>
      </c>
      <c r="Q184" s="14">
        <f t="shared" si="36"/>
        <v>2244</v>
      </c>
      <c r="R184">
        <v>11</v>
      </c>
      <c r="S184" s="14">
        <f t="shared" si="37"/>
        <v>2310</v>
      </c>
      <c r="T184">
        <v>1</v>
      </c>
      <c r="U184" s="14">
        <f t="shared" si="38"/>
        <v>216</v>
      </c>
      <c r="V184" t="s">
        <v>33</v>
      </c>
      <c r="W184" s="14" t="s">
        <v>33</v>
      </c>
      <c r="X184" t="s">
        <v>33</v>
      </c>
      <c r="Y184" s="14" t="s">
        <v>33</v>
      </c>
      <c r="Z184" t="s">
        <v>33</v>
      </c>
      <c r="AA184" s="14" t="s">
        <v>33</v>
      </c>
      <c r="AB184" t="s">
        <v>33</v>
      </c>
      <c r="AC184" s="14" t="s">
        <v>33</v>
      </c>
      <c r="AD184" t="s">
        <v>33</v>
      </c>
      <c r="AE184" s="14" t="s">
        <v>33</v>
      </c>
      <c r="AF184" t="s">
        <v>33</v>
      </c>
      <c r="AG184" s="14" t="s">
        <v>33</v>
      </c>
      <c r="AH184" t="s">
        <v>33</v>
      </c>
      <c r="AI184" s="14" t="s">
        <v>33</v>
      </c>
      <c r="AJ184" t="s">
        <v>33</v>
      </c>
      <c r="AK184" s="14" t="s">
        <v>33</v>
      </c>
      <c r="AL184" t="s">
        <v>33</v>
      </c>
      <c r="AM184" s="14" t="s">
        <v>33</v>
      </c>
      <c r="AN184" t="s">
        <v>33</v>
      </c>
      <c r="AO184" s="14" t="s">
        <v>33</v>
      </c>
      <c r="AP184" t="s">
        <v>33</v>
      </c>
      <c r="AQ184" s="14" t="s">
        <v>33</v>
      </c>
      <c r="AR184" t="s">
        <v>33</v>
      </c>
      <c r="AS184" s="14" t="s">
        <v>33</v>
      </c>
      <c r="AT184" t="s">
        <v>33</v>
      </c>
      <c r="AU184" s="14" t="s">
        <v>33</v>
      </c>
      <c r="AV184" t="s">
        <v>33</v>
      </c>
      <c r="AW184" s="14" t="s">
        <v>33</v>
      </c>
      <c r="AX184" t="s">
        <v>33</v>
      </c>
      <c r="AY184" s="14" t="s">
        <v>33</v>
      </c>
      <c r="AZ184" t="s">
        <v>33</v>
      </c>
      <c r="BA184" s="14" t="s">
        <v>33</v>
      </c>
      <c r="BB184" t="s">
        <v>33</v>
      </c>
      <c r="BC184" s="14" t="s">
        <v>33</v>
      </c>
      <c r="BD184">
        <f t="shared" si="41"/>
        <v>51</v>
      </c>
      <c r="BE184">
        <f t="shared" si="42"/>
        <v>10230</v>
      </c>
      <c r="BF184">
        <f t="shared" si="43"/>
        <v>200.58823529411765</v>
      </c>
    </row>
    <row r="185" spans="1:59" x14ac:dyDescent="0.2">
      <c r="A185" t="s">
        <v>26</v>
      </c>
      <c r="B185" t="s">
        <v>5</v>
      </c>
      <c r="C185" t="s">
        <v>29</v>
      </c>
      <c r="D185" t="s">
        <v>33</v>
      </c>
      <c r="E185" s="14" t="s">
        <v>33</v>
      </c>
      <c r="F185" t="s">
        <v>33</v>
      </c>
      <c r="G185" s="14" t="s">
        <v>33</v>
      </c>
      <c r="H185" t="s">
        <v>33</v>
      </c>
      <c r="I185" s="14" t="s">
        <v>33</v>
      </c>
      <c r="J185">
        <v>0</v>
      </c>
      <c r="K185" s="14">
        <f t="shared" si="33"/>
        <v>0</v>
      </c>
      <c r="L185">
        <v>0</v>
      </c>
      <c r="M185" s="14">
        <f t="shared" si="34"/>
        <v>0</v>
      </c>
      <c r="N185">
        <v>3</v>
      </c>
      <c r="O185" s="14">
        <f t="shared" si="35"/>
        <v>594</v>
      </c>
      <c r="P185">
        <v>7</v>
      </c>
      <c r="Q185" s="14">
        <f t="shared" si="36"/>
        <v>1428</v>
      </c>
      <c r="R185">
        <v>9</v>
      </c>
      <c r="S185" s="14">
        <f t="shared" si="37"/>
        <v>1890</v>
      </c>
      <c r="T185">
        <v>7</v>
      </c>
      <c r="U185" s="14">
        <f t="shared" si="38"/>
        <v>1512</v>
      </c>
      <c r="V185">
        <v>4</v>
      </c>
      <c r="W185" s="14">
        <f t="shared" si="39"/>
        <v>888</v>
      </c>
      <c r="X185" t="s">
        <v>33</v>
      </c>
      <c r="Y185" s="14" t="s">
        <v>33</v>
      </c>
      <c r="Z185">
        <v>2</v>
      </c>
      <c r="AA185" s="14">
        <f>Z185*234</f>
        <v>468</v>
      </c>
      <c r="AB185" t="s">
        <v>33</v>
      </c>
      <c r="AC185" s="14" t="s">
        <v>33</v>
      </c>
      <c r="AD185" t="s">
        <v>33</v>
      </c>
      <c r="AE185" s="14" t="s">
        <v>33</v>
      </c>
      <c r="AF185" t="s">
        <v>33</v>
      </c>
      <c r="AG185" s="14" t="s">
        <v>33</v>
      </c>
      <c r="AH185" t="s">
        <v>33</v>
      </c>
      <c r="AI185" s="14" t="s">
        <v>33</v>
      </c>
      <c r="AJ185" t="s">
        <v>33</v>
      </c>
      <c r="AK185" s="14" t="s">
        <v>33</v>
      </c>
      <c r="AL185" t="s">
        <v>33</v>
      </c>
      <c r="AM185" s="14" t="s">
        <v>33</v>
      </c>
      <c r="AN185">
        <v>1</v>
      </c>
      <c r="AO185" s="14">
        <f>AN185*276</f>
        <v>276</v>
      </c>
      <c r="AP185" t="s">
        <v>33</v>
      </c>
      <c r="AQ185" s="14" t="s">
        <v>33</v>
      </c>
      <c r="AR185" t="s">
        <v>33</v>
      </c>
      <c r="AS185" s="14" t="s">
        <v>33</v>
      </c>
      <c r="AT185" t="s">
        <v>33</v>
      </c>
      <c r="AU185" s="14" t="s">
        <v>33</v>
      </c>
      <c r="AV185" t="s">
        <v>33</v>
      </c>
      <c r="AW185" s="14" t="s">
        <v>33</v>
      </c>
      <c r="AX185" t="s">
        <v>33</v>
      </c>
      <c r="AY185" s="14" t="s">
        <v>33</v>
      </c>
      <c r="AZ185" t="s">
        <v>33</v>
      </c>
      <c r="BA185" s="14" t="s">
        <v>33</v>
      </c>
      <c r="BB185" t="s">
        <v>33</v>
      </c>
      <c r="BC185" s="14" t="s">
        <v>33</v>
      </c>
      <c r="BD185">
        <f t="shared" si="41"/>
        <v>33</v>
      </c>
      <c r="BE185">
        <f t="shared" si="42"/>
        <v>7056</v>
      </c>
      <c r="BF185">
        <f t="shared" si="43"/>
        <v>213.81818181818181</v>
      </c>
    </row>
    <row r="186" spans="1:59" x14ac:dyDescent="0.2">
      <c r="A186" t="s">
        <v>26</v>
      </c>
      <c r="B186" t="s">
        <v>5</v>
      </c>
      <c r="C186" t="s">
        <v>30</v>
      </c>
      <c r="D186" t="s">
        <v>33</v>
      </c>
      <c r="E186" s="14" t="s">
        <v>33</v>
      </c>
      <c r="F186" t="s">
        <v>33</v>
      </c>
      <c r="G186" s="14" t="s">
        <v>33</v>
      </c>
      <c r="H186" t="s">
        <v>33</v>
      </c>
      <c r="I186" s="14" t="s">
        <v>33</v>
      </c>
      <c r="J186">
        <v>3</v>
      </c>
      <c r="K186" s="14">
        <f t="shared" si="33"/>
        <v>558</v>
      </c>
      <c r="L186">
        <v>5</v>
      </c>
      <c r="M186" s="14">
        <f t="shared" si="34"/>
        <v>960</v>
      </c>
      <c r="N186">
        <v>12</v>
      </c>
      <c r="O186" s="14">
        <f t="shared" si="35"/>
        <v>2376</v>
      </c>
      <c r="P186">
        <v>9</v>
      </c>
      <c r="Q186" s="14">
        <f t="shared" si="36"/>
        <v>1836</v>
      </c>
      <c r="R186">
        <v>7</v>
      </c>
      <c r="S186" s="14">
        <f t="shared" si="37"/>
        <v>1470</v>
      </c>
      <c r="T186">
        <v>6</v>
      </c>
      <c r="U186" s="14">
        <f t="shared" si="38"/>
        <v>1296</v>
      </c>
      <c r="V186">
        <v>1</v>
      </c>
      <c r="W186" s="14">
        <f t="shared" si="39"/>
        <v>222</v>
      </c>
      <c r="X186" t="s">
        <v>33</v>
      </c>
      <c r="Y186" s="14" t="s">
        <v>33</v>
      </c>
      <c r="Z186">
        <v>0</v>
      </c>
      <c r="AA186" s="14">
        <f>Z186*234</f>
        <v>0</v>
      </c>
      <c r="AB186" t="s">
        <v>33</v>
      </c>
      <c r="AC186" s="14" t="s">
        <v>33</v>
      </c>
      <c r="AD186" t="s">
        <v>33</v>
      </c>
      <c r="AE186" s="14" t="s">
        <v>33</v>
      </c>
      <c r="AF186" t="s">
        <v>33</v>
      </c>
      <c r="AG186" s="14" t="s">
        <v>33</v>
      </c>
      <c r="AH186" t="s">
        <v>33</v>
      </c>
      <c r="AI186" s="14" t="s">
        <v>33</v>
      </c>
      <c r="AJ186" t="s">
        <v>33</v>
      </c>
      <c r="AK186" s="14" t="s">
        <v>33</v>
      </c>
      <c r="AL186" t="s">
        <v>33</v>
      </c>
      <c r="AM186" s="14" t="s">
        <v>33</v>
      </c>
      <c r="AN186">
        <v>0</v>
      </c>
      <c r="AO186" s="14">
        <f>AN186*276</f>
        <v>0</v>
      </c>
      <c r="AP186" t="s">
        <v>33</v>
      </c>
      <c r="AQ186" s="14" t="s">
        <v>33</v>
      </c>
      <c r="AR186" t="s">
        <v>33</v>
      </c>
      <c r="AS186" s="14" t="s">
        <v>33</v>
      </c>
      <c r="AT186" t="s">
        <v>33</v>
      </c>
      <c r="AU186" s="14" t="s">
        <v>33</v>
      </c>
      <c r="AV186" t="s">
        <v>33</v>
      </c>
      <c r="AW186" s="14" t="s">
        <v>33</v>
      </c>
      <c r="AX186" t="s">
        <v>33</v>
      </c>
      <c r="AY186" s="14" t="s">
        <v>33</v>
      </c>
      <c r="AZ186" t="s">
        <v>33</v>
      </c>
      <c r="BA186" s="14" t="s">
        <v>33</v>
      </c>
      <c r="BB186" t="s">
        <v>33</v>
      </c>
      <c r="BC186" s="14" t="s">
        <v>33</v>
      </c>
      <c r="BD186">
        <f t="shared" si="41"/>
        <v>43</v>
      </c>
      <c r="BE186">
        <f t="shared" si="42"/>
        <v>8718</v>
      </c>
      <c r="BF186">
        <f t="shared" si="43"/>
        <v>202.74418604651163</v>
      </c>
    </row>
    <row r="187" spans="1:59" x14ac:dyDescent="0.2">
      <c r="A187" t="s">
        <v>26</v>
      </c>
      <c r="B187" t="s">
        <v>6</v>
      </c>
      <c r="C187" t="s">
        <v>29</v>
      </c>
      <c r="D187" t="s">
        <v>33</v>
      </c>
      <c r="E187" s="14" t="s">
        <v>33</v>
      </c>
      <c r="F187" t="s">
        <v>33</v>
      </c>
      <c r="G187" s="14" t="s">
        <v>33</v>
      </c>
      <c r="H187">
        <v>1</v>
      </c>
      <c r="I187" s="14">
        <f>H187*180</f>
        <v>180</v>
      </c>
      <c r="J187" t="s">
        <v>33</v>
      </c>
      <c r="K187" s="14" t="s">
        <v>33</v>
      </c>
      <c r="L187">
        <v>3</v>
      </c>
      <c r="M187" s="14">
        <f t="shared" si="34"/>
        <v>576</v>
      </c>
      <c r="N187">
        <v>5</v>
      </c>
      <c r="O187" s="14">
        <f t="shared" si="35"/>
        <v>990</v>
      </c>
      <c r="P187">
        <v>6</v>
      </c>
      <c r="Q187" s="14">
        <f t="shared" si="36"/>
        <v>1224</v>
      </c>
      <c r="R187">
        <v>10</v>
      </c>
      <c r="S187" s="14">
        <f t="shared" si="37"/>
        <v>2100</v>
      </c>
      <c r="T187">
        <v>4</v>
      </c>
      <c r="U187" s="14">
        <f t="shared" si="38"/>
        <v>864</v>
      </c>
      <c r="V187">
        <v>2</v>
      </c>
      <c r="W187" s="14">
        <f t="shared" si="39"/>
        <v>444</v>
      </c>
      <c r="X187" t="s">
        <v>33</v>
      </c>
      <c r="Y187" s="14" t="s">
        <v>33</v>
      </c>
      <c r="Z187">
        <v>0</v>
      </c>
      <c r="AA187" s="14">
        <f>Z187*234</f>
        <v>0</v>
      </c>
      <c r="AB187">
        <v>1</v>
      </c>
      <c r="AC187" s="14">
        <f>AB187*240</f>
        <v>240</v>
      </c>
      <c r="AD187" t="s">
        <v>33</v>
      </c>
      <c r="AE187" s="14" t="s">
        <v>33</v>
      </c>
      <c r="AF187" t="s">
        <v>33</v>
      </c>
      <c r="AG187" s="14" t="s">
        <v>33</v>
      </c>
      <c r="AH187" t="s">
        <v>33</v>
      </c>
      <c r="AI187" s="14" t="s">
        <v>33</v>
      </c>
      <c r="AJ187" t="s">
        <v>33</v>
      </c>
      <c r="AK187" s="14" t="s">
        <v>33</v>
      </c>
      <c r="AL187" t="s">
        <v>33</v>
      </c>
      <c r="AM187" s="14" t="s">
        <v>33</v>
      </c>
      <c r="AN187" t="s">
        <v>33</v>
      </c>
      <c r="AO187" s="14" t="s">
        <v>33</v>
      </c>
      <c r="AP187" t="s">
        <v>33</v>
      </c>
      <c r="AQ187" s="14" t="s">
        <v>33</v>
      </c>
      <c r="AR187" t="s">
        <v>33</v>
      </c>
      <c r="AS187" s="14" t="s">
        <v>33</v>
      </c>
      <c r="AT187" t="s">
        <v>33</v>
      </c>
      <c r="AU187" s="14" t="s">
        <v>33</v>
      </c>
      <c r="AV187" t="s">
        <v>33</v>
      </c>
      <c r="AW187" s="14" t="s">
        <v>33</v>
      </c>
      <c r="AX187" t="s">
        <v>33</v>
      </c>
      <c r="AY187" s="14" t="s">
        <v>33</v>
      </c>
      <c r="AZ187" t="s">
        <v>33</v>
      </c>
      <c r="BA187" s="14" t="s">
        <v>33</v>
      </c>
      <c r="BB187" t="s">
        <v>33</v>
      </c>
      <c r="BC187" s="14" t="s">
        <v>33</v>
      </c>
      <c r="BD187">
        <f t="shared" si="41"/>
        <v>32</v>
      </c>
      <c r="BE187">
        <f t="shared" si="42"/>
        <v>6618</v>
      </c>
      <c r="BF187">
        <f t="shared" si="43"/>
        <v>206.8125</v>
      </c>
    </row>
    <row r="188" spans="1:59" x14ac:dyDescent="0.2">
      <c r="A188" t="s">
        <v>26</v>
      </c>
      <c r="B188" t="s">
        <v>6</v>
      </c>
      <c r="C188" t="s">
        <v>30</v>
      </c>
      <c r="D188" t="s">
        <v>33</v>
      </c>
      <c r="E188" s="14" t="s">
        <v>33</v>
      </c>
      <c r="F188" t="s">
        <v>33</v>
      </c>
      <c r="G188" s="14" t="s">
        <v>33</v>
      </c>
      <c r="H188">
        <v>0</v>
      </c>
      <c r="I188" s="14">
        <f>H188*180</f>
        <v>0</v>
      </c>
      <c r="J188" t="s">
        <v>33</v>
      </c>
      <c r="K188" s="14" t="s">
        <v>33</v>
      </c>
      <c r="L188">
        <v>7</v>
      </c>
      <c r="M188" s="14">
        <f t="shared" si="34"/>
        <v>1344</v>
      </c>
      <c r="N188">
        <v>12</v>
      </c>
      <c r="O188" s="14">
        <f t="shared" si="35"/>
        <v>2376</v>
      </c>
      <c r="P188">
        <v>13</v>
      </c>
      <c r="Q188" s="14">
        <f t="shared" si="36"/>
        <v>2652</v>
      </c>
      <c r="R188">
        <v>15</v>
      </c>
      <c r="S188" s="14">
        <f t="shared" si="37"/>
        <v>3150</v>
      </c>
      <c r="T188">
        <v>4</v>
      </c>
      <c r="U188" s="14">
        <f t="shared" si="38"/>
        <v>864</v>
      </c>
      <c r="V188">
        <v>0</v>
      </c>
      <c r="W188" s="14">
        <f t="shared" si="39"/>
        <v>0</v>
      </c>
      <c r="X188" t="s">
        <v>33</v>
      </c>
      <c r="Y188" s="14" t="s">
        <v>33</v>
      </c>
      <c r="Z188">
        <v>1</v>
      </c>
      <c r="AA188" s="14">
        <f>Z188*234</f>
        <v>234</v>
      </c>
      <c r="AB188">
        <v>0</v>
      </c>
      <c r="AC188" s="14">
        <f>AB188*240</f>
        <v>0</v>
      </c>
      <c r="AD188" t="s">
        <v>33</v>
      </c>
      <c r="AE188" s="14" t="s">
        <v>33</v>
      </c>
      <c r="AF188" t="s">
        <v>33</v>
      </c>
      <c r="AG188" s="14" t="s">
        <v>33</v>
      </c>
      <c r="AH188" t="s">
        <v>33</v>
      </c>
      <c r="AI188" s="14" t="s">
        <v>33</v>
      </c>
      <c r="AJ188" t="s">
        <v>33</v>
      </c>
      <c r="AK188" s="14" t="s">
        <v>33</v>
      </c>
      <c r="AL188" t="s">
        <v>33</v>
      </c>
      <c r="AM188" s="14" t="s">
        <v>33</v>
      </c>
      <c r="AN188" t="s">
        <v>33</v>
      </c>
      <c r="AO188" s="14" t="s">
        <v>33</v>
      </c>
      <c r="AP188" t="s">
        <v>33</v>
      </c>
      <c r="AQ188" s="14" t="s">
        <v>33</v>
      </c>
      <c r="AR188" t="s">
        <v>33</v>
      </c>
      <c r="AS188" s="14" t="s">
        <v>33</v>
      </c>
      <c r="AT188" t="s">
        <v>33</v>
      </c>
      <c r="AU188" s="14" t="s">
        <v>33</v>
      </c>
      <c r="AV188" t="s">
        <v>33</v>
      </c>
      <c r="AW188" s="14" t="s">
        <v>33</v>
      </c>
      <c r="AX188" t="s">
        <v>33</v>
      </c>
      <c r="AY188" s="14" t="s">
        <v>33</v>
      </c>
      <c r="AZ188" t="s">
        <v>33</v>
      </c>
      <c r="BA188" s="14" t="s">
        <v>33</v>
      </c>
      <c r="BB188" t="s">
        <v>33</v>
      </c>
      <c r="BC188" s="14" t="s">
        <v>33</v>
      </c>
      <c r="BD188">
        <f t="shared" si="41"/>
        <v>52</v>
      </c>
      <c r="BE188">
        <f t="shared" si="42"/>
        <v>10620</v>
      </c>
      <c r="BF188">
        <f t="shared" si="43"/>
        <v>204.23076923076923</v>
      </c>
    </row>
    <row r="189" spans="1:59" x14ac:dyDescent="0.2">
      <c r="A189" t="s">
        <v>26</v>
      </c>
      <c r="B189" t="s">
        <v>7</v>
      </c>
      <c r="C189" t="s">
        <v>29</v>
      </c>
      <c r="D189" t="s">
        <v>33</v>
      </c>
      <c r="E189" s="14" t="s">
        <v>33</v>
      </c>
      <c r="F189" t="s">
        <v>33</v>
      </c>
      <c r="G189" s="14" t="s">
        <v>33</v>
      </c>
      <c r="H189" t="s">
        <v>33</v>
      </c>
      <c r="I189" s="14" t="s">
        <v>33</v>
      </c>
      <c r="J189">
        <v>0</v>
      </c>
      <c r="K189" s="14">
        <f t="shared" si="33"/>
        <v>0</v>
      </c>
      <c r="L189">
        <v>2</v>
      </c>
      <c r="M189" s="14">
        <f t="shared" si="34"/>
        <v>384</v>
      </c>
      <c r="N189">
        <v>8</v>
      </c>
      <c r="O189" s="14">
        <f t="shared" si="35"/>
        <v>1584</v>
      </c>
      <c r="P189">
        <v>13</v>
      </c>
      <c r="Q189" s="14">
        <f t="shared" si="36"/>
        <v>2652</v>
      </c>
      <c r="R189">
        <v>17</v>
      </c>
      <c r="S189" s="14">
        <f t="shared" si="37"/>
        <v>3570</v>
      </c>
      <c r="T189">
        <v>4</v>
      </c>
      <c r="U189" s="14">
        <f t="shared" si="38"/>
        <v>864</v>
      </c>
      <c r="V189">
        <v>2</v>
      </c>
      <c r="W189" s="14">
        <f t="shared" si="39"/>
        <v>444</v>
      </c>
      <c r="X189">
        <v>3</v>
      </c>
      <c r="Y189" s="14">
        <f t="shared" si="40"/>
        <v>684</v>
      </c>
      <c r="Z189" t="s">
        <v>33</v>
      </c>
      <c r="AA189" s="14" t="s">
        <v>33</v>
      </c>
      <c r="AB189" t="s">
        <v>33</v>
      </c>
      <c r="AC189" s="14" t="s">
        <v>33</v>
      </c>
      <c r="AD189" t="s">
        <v>33</v>
      </c>
      <c r="AE189" s="14" t="s">
        <v>33</v>
      </c>
      <c r="AF189" t="s">
        <v>33</v>
      </c>
      <c r="AG189" s="14" t="s">
        <v>33</v>
      </c>
      <c r="AH189" t="s">
        <v>33</v>
      </c>
      <c r="AI189" s="14" t="s">
        <v>33</v>
      </c>
      <c r="AJ189" t="s">
        <v>33</v>
      </c>
      <c r="AK189" s="14" t="s">
        <v>33</v>
      </c>
      <c r="AL189" t="s">
        <v>33</v>
      </c>
      <c r="AM189" s="14" t="s">
        <v>33</v>
      </c>
      <c r="AN189" t="s">
        <v>33</v>
      </c>
      <c r="AO189" s="14" t="s">
        <v>33</v>
      </c>
      <c r="AP189" t="s">
        <v>33</v>
      </c>
      <c r="AQ189" s="14" t="s">
        <v>33</v>
      </c>
      <c r="AR189" t="s">
        <v>33</v>
      </c>
      <c r="AS189" s="14" t="s">
        <v>33</v>
      </c>
      <c r="AT189" t="s">
        <v>33</v>
      </c>
      <c r="AU189" s="14" t="s">
        <v>33</v>
      </c>
      <c r="AV189" t="s">
        <v>33</v>
      </c>
      <c r="AW189" s="14" t="s">
        <v>33</v>
      </c>
      <c r="AX189" t="s">
        <v>33</v>
      </c>
      <c r="AY189" s="14" t="s">
        <v>33</v>
      </c>
      <c r="AZ189" t="s">
        <v>33</v>
      </c>
      <c r="BA189" s="14" t="s">
        <v>33</v>
      </c>
      <c r="BB189" t="s">
        <v>33</v>
      </c>
      <c r="BC189" s="14" t="s">
        <v>33</v>
      </c>
      <c r="BD189">
        <f t="shared" si="41"/>
        <v>49</v>
      </c>
      <c r="BE189">
        <f t="shared" si="42"/>
        <v>10182</v>
      </c>
      <c r="BF189">
        <f t="shared" si="43"/>
        <v>207.79591836734693</v>
      </c>
    </row>
    <row r="190" spans="1:59" x14ac:dyDescent="0.2">
      <c r="A190" t="s">
        <v>26</v>
      </c>
      <c r="B190" t="s">
        <v>7</v>
      </c>
      <c r="C190" t="s">
        <v>30</v>
      </c>
      <c r="D190" t="s">
        <v>33</v>
      </c>
      <c r="E190" s="14" t="s">
        <v>33</v>
      </c>
      <c r="F190" t="s">
        <v>33</v>
      </c>
      <c r="G190" s="14" t="s">
        <v>33</v>
      </c>
      <c r="H190" t="s">
        <v>33</v>
      </c>
      <c r="I190" s="14" t="s">
        <v>33</v>
      </c>
      <c r="J190">
        <v>1</v>
      </c>
      <c r="K190" s="14">
        <f t="shared" si="33"/>
        <v>186</v>
      </c>
      <c r="L190">
        <v>5</v>
      </c>
      <c r="M190" s="14">
        <f t="shared" si="34"/>
        <v>960</v>
      </c>
      <c r="N190">
        <v>13</v>
      </c>
      <c r="O190" s="14">
        <f t="shared" si="35"/>
        <v>2574</v>
      </c>
      <c r="P190">
        <v>11</v>
      </c>
      <c r="Q190" s="14">
        <f t="shared" si="36"/>
        <v>2244</v>
      </c>
      <c r="R190">
        <v>11</v>
      </c>
      <c r="S190" s="14">
        <f t="shared" si="37"/>
        <v>2310</v>
      </c>
      <c r="T190">
        <v>2</v>
      </c>
      <c r="U190" s="14">
        <f t="shared" si="38"/>
        <v>432</v>
      </c>
      <c r="V190">
        <v>0</v>
      </c>
      <c r="W190" s="14">
        <f t="shared" si="39"/>
        <v>0</v>
      </c>
      <c r="X190">
        <v>0</v>
      </c>
      <c r="Y190" s="14">
        <f t="shared" si="40"/>
        <v>0</v>
      </c>
      <c r="Z190" t="s">
        <v>33</v>
      </c>
      <c r="AA190" s="14" t="s">
        <v>33</v>
      </c>
      <c r="AB190" t="s">
        <v>33</v>
      </c>
      <c r="AC190" s="14" t="s">
        <v>33</v>
      </c>
      <c r="AD190" t="s">
        <v>33</v>
      </c>
      <c r="AE190" s="14" t="s">
        <v>33</v>
      </c>
      <c r="AF190" t="s">
        <v>33</v>
      </c>
      <c r="AG190" s="14" t="s">
        <v>33</v>
      </c>
      <c r="AH190" t="s">
        <v>33</v>
      </c>
      <c r="AI190" s="14" t="s">
        <v>33</v>
      </c>
      <c r="AJ190" t="s">
        <v>33</v>
      </c>
      <c r="AK190" s="14" t="s">
        <v>33</v>
      </c>
      <c r="AL190" t="s">
        <v>33</v>
      </c>
      <c r="AM190" s="14" t="s">
        <v>33</v>
      </c>
      <c r="AN190" t="s">
        <v>33</v>
      </c>
      <c r="AO190" s="14" t="s">
        <v>33</v>
      </c>
      <c r="AP190" t="s">
        <v>33</v>
      </c>
      <c r="AQ190" s="14" t="s">
        <v>33</v>
      </c>
      <c r="AR190" t="s">
        <v>33</v>
      </c>
      <c r="AS190" s="14" t="s">
        <v>33</v>
      </c>
      <c r="AT190" t="s">
        <v>33</v>
      </c>
      <c r="AU190" s="14" t="s">
        <v>33</v>
      </c>
      <c r="AV190" t="s">
        <v>33</v>
      </c>
      <c r="AW190" s="14" t="s">
        <v>33</v>
      </c>
      <c r="AX190" t="s">
        <v>33</v>
      </c>
      <c r="AY190" s="14" t="s">
        <v>33</v>
      </c>
      <c r="AZ190" t="s">
        <v>33</v>
      </c>
      <c r="BA190" s="14" t="s">
        <v>33</v>
      </c>
      <c r="BB190" t="s">
        <v>33</v>
      </c>
      <c r="BC190" s="14" t="s">
        <v>33</v>
      </c>
      <c r="BD190">
        <f t="shared" si="41"/>
        <v>43</v>
      </c>
      <c r="BE190">
        <f t="shared" si="42"/>
        <v>8706</v>
      </c>
      <c r="BF190">
        <f t="shared" si="43"/>
        <v>202.46511627906978</v>
      </c>
    </row>
    <row r="191" spans="1:59" x14ac:dyDescent="0.2">
      <c r="A191" t="s">
        <v>26</v>
      </c>
      <c r="B191" t="s">
        <v>8</v>
      </c>
      <c r="C191" t="s">
        <v>29</v>
      </c>
      <c r="D191" t="s">
        <v>33</v>
      </c>
      <c r="E191" s="14" t="s">
        <v>33</v>
      </c>
      <c r="F191" t="s">
        <v>33</v>
      </c>
      <c r="G191" s="14" t="s">
        <v>33</v>
      </c>
      <c r="H191">
        <v>0</v>
      </c>
      <c r="I191" s="14">
        <f>H191*180</f>
        <v>0</v>
      </c>
      <c r="J191">
        <v>0</v>
      </c>
      <c r="K191" s="14">
        <f t="shared" si="33"/>
        <v>0</v>
      </c>
      <c r="L191">
        <v>1</v>
      </c>
      <c r="M191" s="14">
        <f t="shared" si="34"/>
        <v>192</v>
      </c>
      <c r="N191">
        <v>7</v>
      </c>
      <c r="O191" s="14">
        <f t="shared" si="35"/>
        <v>1386</v>
      </c>
      <c r="P191">
        <v>10</v>
      </c>
      <c r="Q191" s="14">
        <f t="shared" si="36"/>
        <v>2040</v>
      </c>
      <c r="R191">
        <v>11</v>
      </c>
      <c r="S191" s="14">
        <f t="shared" si="37"/>
        <v>2310</v>
      </c>
      <c r="T191">
        <v>8</v>
      </c>
      <c r="U191" s="14">
        <f t="shared" si="38"/>
        <v>1728</v>
      </c>
      <c r="V191">
        <v>3</v>
      </c>
      <c r="W191" s="14">
        <f t="shared" si="39"/>
        <v>666</v>
      </c>
      <c r="X191" t="s">
        <v>33</v>
      </c>
      <c r="Y191" s="14" t="s">
        <v>33</v>
      </c>
      <c r="Z191">
        <v>2</v>
      </c>
      <c r="AA191" s="14">
        <f>Z191*234</f>
        <v>468</v>
      </c>
      <c r="AB191">
        <v>0</v>
      </c>
      <c r="AC191" s="14">
        <f>AB191*240</f>
        <v>0</v>
      </c>
      <c r="AD191" t="s">
        <v>33</v>
      </c>
      <c r="AE191" s="14" t="s">
        <v>33</v>
      </c>
      <c r="AF191" t="s">
        <v>33</v>
      </c>
      <c r="AG191" s="14" t="s">
        <v>33</v>
      </c>
      <c r="AH191" t="s">
        <v>33</v>
      </c>
      <c r="AI191" s="14" t="s">
        <v>33</v>
      </c>
      <c r="AJ191" t="s">
        <v>33</v>
      </c>
      <c r="AK191" s="14" t="s">
        <v>33</v>
      </c>
      <c r="AL191" t="s">
        <v>33</v>
      </c>
      <c r="AM191" s="14" t="s">
        <v>33</v>
      </c>
      <c r="AN191" t="s">
        <v>33</v>
      </c>
      <c r="AO191" s="14" t="s">
        <v>33</v>
      </c>
      <c r="AP191" t="s">
        <v>33</v>
      </c>
      <c r="AQ191" s="14" t="s">
        <v>33</v>
      </c>
      <c r="AR191" t="s">
        <v>33</v>
      </c>
      <c r="AS191" s="14" t="s">
        <v>33</v>
      </c>
      <c r="AT191">
        <v>0</v>
      </c>
      <c r="AU191" s="14">
        <f>AT191*294</f>
        <v>0</v>
      </c>
      <c r="AV191" t="s">
        <v>33</v>
      </c>
      <c r="AW191" s="14" t="s">
        <v>33</v>
      </c>
      <c r="AX191" t="s">
        <v>33</v>
      </c>
      <c r="AY191" s="14" t="s">
        <v>33</v>
      </c>
      <c r="AZ191">
        <v>1</v>
      </c>
      <c r="BA191" s="14">
        <f>AZ191*336</f>
        <v>336</v>
      </c>
      <c r="BB191" t="s">
        <v>33</v>
      </c>
      <c r="BC191" s="14" t="s">
        <v>33</v>
      </c>
      <c r="BD191">
        <f t="shared" si="41"/>
        <v>43</v>
      </c>
      <c r="BE191">
        <f t="shared" si="42"/>
        <v>9126</v>
      </c>
      <c r="BF191">
        <f t="shared" si="43"/>
        <v>212.23255813953489</v>
      </c>
    </row>
    <row r="192" spans="1:59" x14ac:dyDescent="0.2">
      <c r="A192" t="s">
        <v>26</v>
      </c>
      <c r="B192" t="s">
        <v>8</v>
      </c>
      <c r="C192" t="s">
        <v>30</v>
      </c>
      <c r="D192" t="s">
        <v>33</v>
      </c>
      <c r="E192" s="14" t="s">
        <v>33</v>
      </c>
      <c r="F192" t="s">
        <v>33</v>
      </c>
      <c r="G192" s="14" t="s">
        <v>33</v>
      </c>
      <c r="H192">
        <v>1</v>
      </c>
      <c r="I192" s="14">
        <f>H192*180</f>
        <v>180</v>
      </c>
      <c r="J192">
        <v>1</v>
      </c>
      <c r="K192" s="14">
        <f t="shared" si="33"/>
        <v>186</v>
      </c>
      <c r="L192">
        <v>5</v>
      </c>
      <c r="M192" s="14">
        <f t="shared" si="34"/>
        <v>960</v>
      </c>
      <c r="N192">
        <v>13</v>
      </c>
      <c r="O192" s="14">
        <f t="shared" si="35"/>
        <v>2574</v>
      </c>
      <c r="P192">
        <v>7</v>
      </c>
      <c r="Q192" s="14">
        <f t="shared" si="36"/>
        <v>1428</v>
      </c>
      <c r="R192">
        <v>11</v>
      </c>
      <c r="S192" s="14">
        <f t="shared" si="37"/>
        <v>2310</v>
      </c>
      <c r="T192">
        <v>0</v>
      </c>
      <c r="U192" s="14">
        <f t="shared" si="38"/>
        <v>0</v>
      </c>
      <c r="V192">
        <v>0</v>
      </c>
      <c r="W192" s="14">
        <f t="shared" si="39"/>
        <v>0</v>
      </c>
      <c r="X192" t="s">
        <v>33</v>
      </c>
      <c r="Y192" s="14" t="s">
        <v>33</v>
      </c>
      <c r="Z192">
        <v>0</v>
      </c>
      <c r="AA192" s="14">
        <f>Z192*234</f>
        <v>0</v>
      </c>
      <c r="AB192">
        <v>2</v>
      </c>
      <c r="AC192" s="14">
        <f>AB192*240</f>
        <v>480</v>
      </c>
      <c r="AD192" t="s">
        <v>33</v>
      </c>
      <c r="AE192" s="14" t="s">
        <v>33</v>
      </c>
      <c r="AF192" t="s">
        <v>33</v>
      </c>
      <c r="AG192" s="14" t="s">
        <v>33</v>
      </c>
      <c r="AH192" t="s">
        <v>33</v>
      </c>
      <c r="AI192" s="14" t="s">
        <v>33</v>
      </c>
      <c r="AJ192" t="s">
        <v>33</v>
      </c>
      <c r="AK192" s="14" t="s">
        <v>33</v>
      </c>
      <c r="AL192" t="s">
        <v>33</v>
      </c>
      <c r="AM192" s="14" t="s">
        <v>33</v>
      </c>
      <c r="AN192" t="s">
        <v>33</v>
      </c>
      <c r="AO192" s="14" t="s">
        <v>33</v>
      </c>
      <c r="AP192" t="s">
        <v>33</v>
      </c>
      <c r="AQ192" s="14" t="s">
        <v>33</v>
      </c>
      <c r="AR192" t="s">
        <v>33</v>
      </c>
      <c r="AS192" s="14" t="s">
        <v>33</v>
      </c>
      <c r="AT192">
        <v>1</v>
      </c>
      <c r="AU192" s="14">
        <f>AT192*294</f>
        <v>294</v>
      </c>
      <c r="AV192" t="s">
        <v>33</v>
      </c>
      <c r="AW192" s="14" t="s">
        <v>33</v>
      </c>
      <c r="AX192" t="s">
        <v>33</v>
      </c>
      <c r="AY192" s="14" t="s">
        <v>33</v>
      </c>
      <c r="AZ192">
        <v>0</v>
      </c>
      <c r="BA192" s="14">
        <f>AZ192*336</f>
        <v>0</v>
      </c>
      <c r="BB192" t="s">
        <v>33</v>
      </c>
      <c r="BC192" s="14" t="s">
        <v>33</v>
      </c>
      <c r="BD192">
        <f t="shared" si="41"/>
        <v>41</v>
      </c>
      <c r="BE192">
        <f t="shared" si="42"/>
        <v>8412</v>
      </c>
      <c r="BF192">
        <f t="shared" si="43"/>
        <v>205.17073170731706</v>
      </c>
    </row>
    <row r="193" spans="1:59" x14ac:dyDescent="0.2">
      <c r="A193" t="s">
        <v>27</v>
      </c>
      <c r="B193" t="s">
        <v>4</v>
      </c>
      <c r="C193" t="s">
        <v>29</v>
      </c>
      <c r="D193" t="s">
        <v>33</v>
      </c>
      <c r="E193" s="14" t="s">
        <v>33</v>
      </c>
      <c r="F193" t="s">
        <v>33</v>
      </c>
      <c r="G193" s="14" t="s">
        <v>33</v>
      </c>
      <c r="H193">
        <v>0</v>
      </c>
      <c r="I193" s="14">
        <f>H193*180</f>
        <v>0</v>
      </c>
      <c r="J193">
        <v>5</v>
      </c>
      <c r="K193" s="14">
        <f t="shared" si="33"/>
        <v>930</v>
      </c>
      <c r="L193">
        <v>27</v>
      </c>
      <c r="M193" s="14">
        <f t="shared" si="34"/>
        <v>5184</v>
      </c>
      <c r="N193">
        <v>12</v>
      </c>
      <c r="O193" s="14">
        <f t="shared" si="35"/>
        <v>2376</v>
      </c>
      <c r="P193">
        <v>4</v>
      </c>
      <c r="Q193" s="14">
        <f t="shared" si="36"/>
        <v>816</v>
      </c>
      <c r="R193">
        <v>5</v>
      </c>
      <c r="S193" s="14">
        <f t="shared" si="37"/>
        <v>1050</v>
      </c>
      <c r="T193">
        <v>1</v>
      </c>
      <c r="U193" s="14">
        <f t="shared" si="38"/>
        <v>216</v>
      </c>
      <c r="V193" t="s">
        <v>33</v>
      </c>
      <c r="W193" s="14" t="s">
        <v>33</v>
      </c>
      <c r="X193" t="s">
        <v>33</v>
      </c>
      <c r="Y193" s="14" t="s">
        <v>33</v>
      </c>
      <c r="Z193" t="s">
        <v>33</v>
      </c>
      <c r="AA193" s="14" t="s">
        <v>33</v>
      </c>
      <c r="AB193" t="s">
        <v>33</v>
      </c>
      <c r="AC193" s="14" t="s">
        <v>33</v>
      </c>
      <c r="AD193" t="s">
        <v>33</v>
      </c>
      <c r="AE193" s="14" t="s">
        <v>33</v>
      </c>
      <c r="AF193">
        <v>0</v>
      </c>
      <c r="AG193" s="14">
        <f>AF193*252</f>
        <v>0</v>
      </c>
      <c r="AH193" t="s">
        <v>33</v>
      </c>
      <c r="AI193" s="14" t="s">
        <v>33</v>
      </c>
      <c r="AJ193" t="s">
        <v>33</v>
      </c>
      <c r="AK193" s="14" t="s">
        <v>33</v>
      </c>
      <c r="AL193" t="s">
        <v>33</v>
      </c>
      <c r="AM193" s="14" t="s">
        <v>33</v>
      </c>
      <c r="AN193" t="s">
        <v>33</v>
      </c>
      <c r="AO193" s="14" t="s">
        <v>33</v>
      </c>
      <c r="AP193" t="s">
        <v>33</v>
      </c>
      <c r="AQ193" s="14" t="s">
        <v>33</v>
      </c>
      <c r="AR193" t="s">
        <v>33</v>
      </c>
      <c r="AS193" s="14" t="s">
        <v>33</v>
      </c>
      <c r="AT193" t="s">
        <v>33</v>
      </c>
      <c r="AU193" s="14" t="s">
        <v>33</v>
      </c>
      <c r="AV193" t="s">
        <v>33</v>
      </c>
      <c r="AW193" s="14" t="s">
        <v>33</v>
      </c>
      <c r="AX193" t="s">
        <v>33</v>
      </c>
      <c r="AY193" s="14" t="s">
        <v>33</v>
      </c>
      <c r="AZ193" t="s">
        <v>33</v>
      </c>
      <c r="BA193" s="14" t="s">
        <v>33</v>
      </c>
      <c r="BB193" t="s">
        <v>33</v>
      </c>
      <c r="BC193" s="14" t="s">
        <v>33</v>
      </c>
      <c r="BD193">
        <f t="shared" si="41"/>
        <v>54</v>
      </c>
      <c r="BE193">
        <f t="shared" si="42"/>
        <v>10572</v>
      </c>
      <c r="BF193">
        <f t="shared" si="43"/>
        <v>195.77777777777777</v>
      </c>
      <c r="BG193" t="s">
        <v>51</v>
      </c>
    </row>
    <row r="194" spans="1:59" x14ac:dyDescent="0.2">
      <c r="A194" t="s">
        <v>27</v>
      </c>
      <c r="B194" t="s">
        <v>4</v>
      </c>
      <c r="C194" t="s">
        <v>30</v>
      </c>
      <c r="D194" t="s">
        <v>33</v>
      </c>
      <c r="E194" s="14" t="s">
        <v>33</v>
      </c>
      <c r="F194" t="s">
        <v>33</v>
      </c>
      <c r="G194" s="14" t="s">
        <v>33</v>
      </c>
      <c r="H194">
        <v>5</v>
      </c>
      <c r="I194" s="14">
        <f>H194*180</f>
        <v>900</v>
      </c>
      <c r="J194">
        <v>9</v>
      </c>
      <c r="K194" s="14">
        <f t="shared" si="33"/>
        <v>1674</v>
      </c>
      <c r="L194">
        <v>13</v>
      </c>
      <c r="M194" s="14">
        <f t="shared" si="34"/>
        <v>2496</v>
      </c>
      <c r="N194">
        <v>9</v>
      </c>
      <c r="O194" s="14">
        <f t="shared" si="35"/>
        <v>1782</v>
      </c>
      <c r="P194">
        <v>5</v>
      </c>
      <c r="Q194" s="14">
        <f t="shared" si="36"/>
        <v>1020</v>
      </c>
      <c r="R194">
        <v>0</v>
      </c>
      <c r="S194" s="14">
        <f t="shared" si="37"/>
        <v>0</v>
      </c>
      <c r="T194">
        <v>0</v>
      </c>
      <c r="U194" s="14">
        <f t="shared" si="38"/>
        <v>0</v>
      </c>
      <c r="V194" t="s">
        <v>33</v>
      </c>
      <c r="W194" s="14" t="s">
        <v>33</v>
      </c>
      <c r="X194" t="s">
        <v>33</v>
      </c>
      <c r="Y194" s="14" t="s">
        <v>33</v>
      </c>
      <c r="Z194" t="s">
        <v>33</v>
      </c>
      <c r="AA194" s="14" t="s">
        <v>33</v>
      </c>
      <c r="AB194" t="s">
        <v>33</v>
      </c>
      <c r="AC194" s="14" t="s">
        <v>33</v>
      </c>
      <c r="AD194" t="s">
        <v>33</v>
      </c>
      <c r="AE194" s="14" t="s">
        <v>33</v>
      </c>
      <c r="AF194">
        <v>1</v>
      </c>
      <c r="AG194" s="14">
        <f>AF194*252</f>
        <v>252</v>
      </c>
      <c r="AH194" t="s">
        <v>33</v>
      </c>
      <c r="AI194" s="14" t="s">
        <v>33</v>
      </c>
      <c r="AJ194" t="s">
        <v>33</v>
      </c>
      <c r="AK194" s="14" t="s">
        <v>33</v>
      </c>
      <c r="AL194" t="s">
        <v>33</v>
      </c>
      <c r="AM194" s="14" t="s">
        <v>33</v>
      </c>
      <c r="AN194" t="s">
        <v>33</v>
      </c>
      <c r="AO194" s="14" t="s">
        <v>33</v>
      </c>
      <c r="AP194" t="s">
        <v>33</v>
      </c>
      <c r="AQ194" s="14" t="s">
        <v>33</v>
      </c>
      <c r="AR194" t="s">
        <v>33</v>
      </c>
      <c r="AS194" s="14" t="s">
        <v>33</v>
      </c>
      <c r="AT194" t="s">
        <v>33</v>
      </c>
      <c r="AU194" s="14" t="s">
        <v>33</v>
      </c>
      <c r="AV194" t="s">
        <v>33</v>
      </c>
      <c r="AW194" s="14" t="s">
        <v>33</v>
      </c>
      <c r="AX194" t="s">
        <v>33</v>
      </c>
      <c r="AY194" s="14" t="s">
        <v>33</v>
      </c>
      <c r="AZ194" t="s">
        <v>33</v>
      </c>
      <c r="BA194" s="14" t="s">
        <v>33</v>
      </c>
      <c r="BB194" t="s">
        <v>33</v>
      </c>
      <c r="BC194" s="14" t="s">
        <v>33</v>
      </c>
      <c r="BD194">
        <f t="shared" si="41"/>
        <v>42</v>
      </c>
      <c r="BE194">
        <f t="shared" si="42"/>
        <v>8124</v>
      </c>
      <c r="BF194">
        <f t="shared" si="43"/>
        <v>193.42857142857142</v>
      </c>
    </row>
    <row r="195" spans="1:59" x14ac:dyDescent="0.2">
      <c r="A195" t="s">
        <v>27</v>
      </c>
      <c r="B195" t="s">
        <v>5</v>
      </c>
      <c r="C195" t="s">
        <v>29</v>
      </c>
      <c r="D195" t="s">
        <v>33</v>
      </c>
      <c r="E195" s="14" t="s">
        <v>33</v>
      </c>
      <c r="F195" t="s">
        <v>33</v>
      </c>
      <c r="G195" s="14" t="s">
        <v>33</v>
      </c>
      <c r="H195">
        <v>2</v>
      </c>
      <c r="I195" s="14">
        <f>H195*180</f>
        <v>360</v>
      </c>
      <c r="J195">
        <v>2</v>
      </c>
      <c r="K195" s="14">
        <f t="shared" si="33"/>
        <v>372</v>
      </c>
      <c r="L195">
        <v>12</v>
      </c>
      <c r="M195" s="14">
        <f t="shared" si="34"/>
        <v>2304</v>
      </c>
      <c r="N195">
        <v>12</v>
      </c>
      <c r="O195" s="14">
        <f t="shared" si="35"/>
        <v>2376</v>
      </c>
      <c r="P195">
        <v>8</v>
      </c>
      <c r="Q195" s="14">
        <f t="shared" si="36"/>
        <v>1632</v>
      </c>
      <c r="R195">
        <v>5</v>
      </c>
      <c r="S195" s="14">
        <f t="shared" si="37"/>
        <v>1050</v>
      </c>
      <c r="T195">
        <v>2</v>
      </c>
      <c r="U195" s="14">
        <f t="shared" si="38"/>
        <v>432</v>
      </c>
      <c r="V195" t="s">
        <v>33</v>
      </c>
      <c r="W195" s="14" t="s">
        <v>33</v>
      </c>
      <c r="X195" t="s">
        <v>33</v>
      </c>
      <c r="Y195" s="14" t="s">
        <v>33</v>
      </c>
      <c r="Z195" t="s">
        <v>33</v>
      </c>
      <c r="AA195" s="14" t="s">
        <v>33</v>
      </c>
      <c r="AB195" t="s">
        <v>33</v>
      </c>
      <c r="AC195" s="14" t="s">
        <v>33</v>
      </c>
      <c r="AD195" t="s">
        <v>33</v>
      </c>
      <c r="AE195" s="14" t="s">
        <v>33</v>
      </c>
      <c r="AF195" t="s">
        <v>33</v>
      </c>
      <c r="AG195" s="14" t="s">
        <v>33</v>
      </c>
      <c r="AH195" t="s">
        <v>33</v>
      </c>
      <c r="AI195" s="14" t="s">
        <v>33</v>
      </c>
      <c r="AJ195" t="s">
        <v>33</v>
      </c>
      <c r="AK195" s="14" t="s">
        <v>33</v>
      </c>
      <c r="AL195" t="s">
        <v>33</v>
      </c>
      <c r="AM195" s="14" t="s">
        <v>33</v>
      </c>
      <c r="AN195" t="s">
        <v>33</v>
      </c>
      <c r="AO195" s="14" t="s">
        <v>33</v>
      </c>
      <c r="AP195" t="s">
        <v>33</v>
      </c>
      <c r="AQ195" s="14" t="s">
        <v>33</v>
      </c>
      <c r="AR195" t="s">
        <v>33</v>
      </c>
      <c r="AS195" s="14" t="s">
        <v>33</v>
      </c>
      <c r="AT195" t="s">
        <v>33</v>
      </c>
      <c r="AU195" s="14" t="s">
        <v>33</v>
      </c>
      <c r="AV195" t="s">
        <v>33</v>
      </c>
      <c r="AW195" s="14" t="s">
        <v>33</v>
      </c>
      <c r="AX195" t="s">
        <v>33</v>
      </c>
      <c r="AY195" s="14" t="s">
        <v>33</v>
      </c>
      <c r="AZ195" t="s">
        <v>33</v>
      </c>
      <c r="BA195" s="14" t="s">
        <v>33</v>
      </c>
      <c r="BB195" t="s">
        <v>33</v>
      </c>
      <c r="BC195" s="14" t="s">
        <v>33</v>
      </c>
      <c r="BD195">
        <f t="shared" si="41"/>
        <v>43</v>
      </c>
      <c r="BE195">
        <f t="shared" si="42"/>
        <v>8526</v>
      </c>
      <c r="BF195">
        <f t="shared" si="43"/>
        <v>198.27906976744185</v>
      </c>
      <c r="BG195" t="s">
        <v>73</v>
      </c>
    </row>
    <row r="196" spans="1:59" x14ac:dyDescent="0.2">
      <c r="A196" t="s">
        <v>27</v>
      </c>
      <c r="B196" t="s">
        <v>5</v>
      </c>
      <c r="C196" t="s">
        <v>30</v>
      </c>
      <c r="D196" t="s">
        <v>33</v>
      </c>
      <c r="E196" s="14" t="s">
        <v>33</v>
      </c>
      <c r="F196" t="s">
        <v>33</v>
      </c>
      <c r="G196" s="14" t="s">
        <v>33</v>
      </c>
      <c r="H196">
        <v>9</v>
      </c>
      <c r="I196" s="14">
        <f t="shared" ref="I196:I202" si="47">H196*180</f>
        <v>1620</v>
      </c>
      <c r="J196">
        <v>10</v>
      </c>
      <c r="K196" s="14">
        <f t="shared" ref="K196:K202" si="48">J196*186</f>
        <v>1860</v>
      </c>
      <c r="L196">
        <v>3</v>
      </c>
      <c r="M196" s="14">
        <f t="shared" ref="M196:M202" si="49">L196*192</f>
        <v>576</v>
      </c>
      <c r="N196">
        <v>13</v>
      </c>
      <c r="O196" s="14">
        <f t="shared" ref="O196:O202" si="50">N196*198</f>
        <v>2574</v>
      </c>
      <c r="P196">
        <v>5</v>
      </c>
      <c r="Q196" s="14">
        <f t="shared" ref="Q196:Q202" si="51">P196*204</f>
        <v>1020</v>
      </c>
      <c r="R196">
        <v>1</v>
      </c>
      <c r="S196" s="14">
        <f>R196*210</f>
        <v>210</v>
      </c>
      <c r="T196">
        <v>0</v>
      </c>
      <c r="U196" s="14">
        <f>T196*216</f>
        <v>0</v>
      </c>
      <c r="V196" t="s">
        <v>33</v>
      </c>
      <c r="W196" s="14" t="s">
        <v>33</v>
      </c>
      <c r="X196" t="s">
        <v>33</v>
      </c>
      <c r="Y196" s="14" t="s">
        <v>33</v>
      </c>
      <c r="Z196" t="s">
        <v>33</v>
      </c>
      <c r="AA196" s="14" t="s">
        <v>33</v>
      </c>
      <c r="AB196" t="s">
        <v>33</v>
      </c>
      <c r="AC196" s="14" t="s">
        <v>33</v>
      </c>
      <c r="AD196" t="s">
        <v>33</v>
      </c>
      <c r="AE196" s="14" t="s">
        <v>33</v>
      </c>
      <c r="AF196" t="s">
        <v>33</v>
      </c>
      <c r="AG196" s="14" t="s">
        <v>33</v>
      </c>
      <c r="AH196" t="s">
        <v>33</v>
      </c>
      <c r="AI196" s="14" t="s">
        <v>33</v>
      </c>
      <c r="AJ196" t="s">
        <v>33</v>
      </c>
      <c r="AK196" s="14" t="s">
        <v>33</v>
      </c>
      <c r="AL196" t="s">
        <v>33</v>
      </c>
      <c r="AM196" s="14" t="s">
        <v>33</v>
      </c>
      <c r="AN196" t="s">
        <v>33</v>
      </c>
      <c r="AO196" s="14" t="s">
        <v>33</v>
      </c>
      <c r="AP196" t="s">
        <v>33</v>
      </c>
      <c r="AQ196" s="14" t="s">
        <v>33</v>
      </c>
      <c r="AR196" t="s">
        <v>33</v>
      </c>
      <c r="AS196" s="14" t="s">
        <v>33</v>
      </c>
      <c r="AT196" t="s">
        <v>33</v>
      </c>
      <c r="AU196" s="14" t="s">
        <v>33</v>
      </c>
      <c r="AV196" t="s">
        <v>33</v>
      </c>
      <c r="AW196" s="14" t="s">
        <v>33</v>
      </c>
      <c r="AX196" t="s">
        <v>33</v>
      </c>
      <c r="AY196" s="14" t="s">
        <v>33</v>
      </c>
      <c r="AZ196" t="s">
        <v>33</v>
      </c>
      <c r="BA196" s="14" t="s">
        <v>33</v>
      </c>
      <c r="BB196" t="s">
        <v>33</v>
      </c>
      <c r="BC196" s="14" t="s">
        <v>33</v>
      </c>
      <c r="BD196">
        <f t="shared" ref="BD196:BD202" si="52">SUM(D196,F196,H196,J196,L196,N196,P196,R196,T196,V196,X196,Z196,AB196,AD196,AF196,AH196,AJ196,AL196,AN196,AP196,AR196,AT196,AV196,AX196,AZ196,BB196)</f>
        <v>41</v>
      </c>
      <c r="BE196">
        <f t="shared" ref="BE196:BE202" si="53">SUM(E196,G196,I196,K196,M196,O196,Q196,S196,U196,W196,Y196,AA196,AC196,AE196,AG196,AI196,AK196,AM196,AO196,AQ196,AS196,AU196,AW196,AY196,BA196,BC196)</f>
        <v>7860</v>
      </c>
      <c r="BF196">
        <f t="shared" ref="BF196:BF202" si="54">BE196/BD196</f>
        <v>191.70731707317074</v>
      </c>
    </row>
    <row r="197" spans="1:59" x14ac:dyDescent="0.2">
      <c r="A197" t="s">
        <v>27</v>
      </c>
      <c r="B197" t="s">
        <v>6</v>
      </c>
      <c r="C197" t="s">
        <v>29</v>
      </c>
      <c r="D197" t="s">
        <v>33</v>
      </c>
      <c r="E197" s="14" t="s">
        <v>33</v>
      </c>
      <c r="F197" t="s">
        <v>33</v>
      </c>
      <c r="G197" s="14" t="s">
        <v>33</v>
      </c>
      <c r="H197">
        <v>2</v>
      </c>
      <c r="I197" s="14">
        <f t="shared" si="47"/>
        <v>360</v>
      </c>
      <c r="J197">
        <v>3</v>
      </c>
      <c r="K197" s="14">
        <f t="shared" si="48"/>
        <v>558</v>
      </c>
      <c r="L197">
        <v>11</v>
      </c>
      <c r="M197" s="14">
        <f t="shared" si="49"/>
        <v>2112</v>
      </c>
      <c r="N197">
        <v>19</v>
      </c>
      <c r="O197" s="14">
        <f t="shared" si="50"/>
        <v>3762</v>
      </c>
      <c r="P197">
        <v>4</v>
      </c>
      <c r="Q197" s="14">
        <f t="shared" si="51"/>
        <v>816</v>
      </c>
      <c r="R197">
        <v>6</v>
      </c>
      <c r="S197" s="14">
        <f>R197*210</f>
        <v>1260</v>
      </c>
      <c r="T197">
        <v>1</v>
      </c>
      <c r="U197" s="14">
        <f>T197*216</f>
        <v>216</v>
      </c>
      <c r="V197" t="s">
        <v>33</v>
      </c>
      <c r="W197" s="14" t="s">
        <v>33</v>
      </c>
      <c r="X197" t="s">
        <v>33</v>
      </c>
      <c r="Y197" s="14" t="s">
        <v>33</v>
      </c>
      <c r="Z197" t="s">
        <v>33</v>
      </c>
      <c r="AA197" s="14" t="s">
        <v>33</v>
      </c>
      <c r="AB197" t="s">
        <v>33</v>
      </c>
      <c r="AC197" s="14" t="s">
        <v>33</v>
      </c>
      <c r="AD197" t="s">
        <v>33</v>
      </c>
      <c r="AE197" s="14" t="s">
        <v>33</v>
      </c>
      <c r="AF197" t="s">
        <v>33</v>
      </c>
      <c r="AG197" s="14" t="s">
        <v>33</v>
      </c>
      <c r="AH197" t="s">
        <v>33</v>
      </c>
      <c r="AI197" s="14" t="s">
        <v>33</v>
      </c>
      <c r="AJ197" t="s">
        <v>33</v>
      </c>
      <c r="AK197" s="14" t="s">
        <v>33</v>
      </c>
      <c r="AL197" t="s">
        <v>33</v>
      </c>
      <c r="AM197" s="14" t="s">
        <v>33</v>
      </c>
      <c r="AN197" t="s">
        <v>33</v>
      </c>
      <c r="AO197" s="14" t="s">
        <v>33</v>
      </c>
      <c r="AP197" t="s">
        <v>33</v>
      </c>
      <c r="AQ197" s="14" t="s">
        <v>33</v>
      </c>
      <c r="AR197" t="s">
        <v>33</v>
      </c>
      <c r="AS197" s="14" t="s">
        <v>33</v>
      </c>
      <c r="AT197" t="s">
        <v>33</v>
      </c>
      <c r="AU197" s="14" t="s">
        <v>33</v>
      </c>
      <c r="AV197" t="s">
        <v>33</v>
      </c>
      <c r="AW197" s="14" t="s">
        <v>33</v>
      </c>
      <c r="AX197" t="s">
        <v>33</v>
      </c>
      <c r="AY197" s="14" t="s">
        <v>33</v>
      </c>
      <c r="AZ197" t="s">
        <v>33</v>
      </c>
      <c r="BA197" s="14" t="s">
        <v>33</v>
      </c>
      <c r="BB197" t="s">
        <v>33</v>
      </c>
      <c r="BC197" s="14" t="s">
        <v>33</v>
      </c>
      <c r="BD197">
        <f t="shared" si="52"/>
        <v>46</v>
      </c>
      <c r="BE197">
        <f t="shared" si="53"/>
        <v>9084</v>
      </c>
      <c r="BF197">
        <f t="shared" si="54"/>
        <v>197.47826086956522</v>
      </c>
    </row>
    <row r="198" spans="1:59" x14ac:dyDescent="0.2">
      <c r="A198" t="s">
        <v>27</v>
      </c>
      <c r="B198" t="s">
        <v>6</v>
      </c>
      <c r="C198" t="s">
        <v>30</v>
      </c>
      <c r="D198" t="s">
        <v>33</v>
      </c>
      <c r="E198" s="14" t="s">
        <v>33</v>
      </c>
      <c r="F198" t="s">
        <v>33</v>
      </c>
      <c r="G198" s="14" t="s">
        <v>33</v>
      </c>
      <c r="H198">
        <v>1</v>
      </c>
      <c r="I198" s="14">
        <f t="shared" si="47"/>
        <v>180</v>
      </c>
      <c r="J198">
        <v>11</v>
      </c>
      <c r="K198" s="14">
        <f t="shared" si="48"/>
        <v>2046</v>
      </c>
      <c r="L198">
        <v>14</v>
      </c>
      <c r="M198" s="14">
        <f t="shared" si="49"/>
        <v>2688</v>
      </c>
      <c r="N198">
        <v>12</v>
      </c>
      <c r="O198" s="14">
        <f t="shared" si="50"/>
        <v>2376</v>
      </c>
      <c r="P198">
        <v>0</v>
      </c>
      <c r="Q198" s="14">
        <f t="shared" si="51"/>
        <v>0</v>
      </c>
      <c r="R198">
        <v>0</v>
      </c>
      <c r="S198" s="14">
        <f>R198*210</f>
        <v>0</v>
      </c>
      <c r="T198">
        <v>0</v>
      </c>
      <c r="U198" s="14">
        <f>T198*216</f>
        <v>0</v>
      </c>
      <c r="V198" t="s">
        <v>33</v>
      </c>
      <c r="W198" s="14" t="s">
        <v>33</v>
      </c>
      <c r="X198" t="s">
        <v>33</v>
      </c>
      <c r="Y198" s="14" t="s">
        <v>33</v>
      </c>
      <c r="Z198" t="s">
        <v>33</v>
      </c>
      <c r="AA198" s="14" t="s">
        <v>33</v>
      </c>
      <c r="AB198" t="s">
        <v>33</v>
      </c>
      <c r="AC198" s="14" t="s">
        <v>33</v>
      </c>
      <c r="AD198" t="s">
        <v>33</v>
      </c>
      <c r="AE198" s="14" t="s">
        <v>33</v>
      </c>
      <c r="AF198" t="s">
        <v>33</v>
      </c>
      <c r="AG198" s="14" t="s">
        <v>33</v>
      </c>
      <c r="AH198" t="s">
        <v>33</v>
      </c>
      <c r="AI198" s="14" t="s">
        <v>33</v>
      </c>
      <c r="AJ198" t="s">
        <v>33</v>
      </c>
      <c r="AK198" s="14" t="s">
        <v>33</v>
      </c>
      <c r="AL198" t="s">
        <v>33</v>
      </c>
      <c r="AM198" s="14" t="s">
        <v>33</v>
      </c>
      <c r="AN198" t="s">
        <v>33</v>
      </c>
      <c r="AO198" s="14" t="s">
        <v>33</v>
      </c>
      <c r="AP198" t="s">
        <v>33</v>
      </c>
      <c r="AQ198" s="14" t="s">
        <v>33</v>
      </c>
      <c r="AR198" t="s">
        <v>33</v>
      </c>
      <c r="AS198" s="14" t="s">
        <v>33</v>
      </c>
      <c r="AT198" t="s">
        <v>33</v>
      </c>
      <c r="AU198" s="14" t="s">
        <v>33</v>
      </c>
      <c r="AV198" t="s">
        <v>33</v>
      </c>
      <c r="AW198" s="14" t="s">
        <v>33</v>
      </c>
      <c r="AX198" t="s">
        <v>33</v>
      </c>
      <c r="AY198" s="14" t="s">
        <v>33</v>
      </c>
      <c r="AZ198" t="s">
        <v>33</v>
      </c>
      <c r="BA198" s="14" t="s">
        <v>33</v>
      </c>
      <c r="BB198" t="s">
        <v>33</v>
      </c>
      <c r="BC198" s="14" t="s">
        <v>33</v>
      </c>
      <c r="BD198">
        <f t="shared" si="52"/>
        <v>38</v>
      </c>
      <c r="BE198">
        <f t="shared" si="53"/>
        <v>7290</v>
      </c>
      <c r="BF198">
        <f t="shared" si="54"/>
        <v>191.84210526315789</v>
      </c>
    </row>
    <row r="199" spans="1:59" x14ac:dyDescent="0.2">
      <c r="A199" t="s">
        <v>27</v>
      </c>
      <c r="B199" t="s">
        <v>7</v>
      </c>
      <c r="C199" t="s">
        <v>29</v>
      </c>
      <c r="D199" t="s">
        <v>33</v>
      </c>
      <c r="E199" s="14" t="s">
        <v>33</v>
      </c>
      <c r="F199" t="s">
        <v>33</v>
      </c>
      <c r="G199" s="14" t="s">
        <v>33</v>
      </c>
      <c r="H199">
        <v>0</v>
      </c>
      <c r="I199" s="14">
        <f t="shared" si="47"/>
        <v>0</v>
      </c>
      <c r="J199">
        <v>4</v>
      </c>
      <c r="K199" s="14">
        <f t="shared" si="48"/>
        <v>744</v>
      </c>
      <c r="L199">
        <v>14</v>
      </c>
      <c r="M199" s="14">
        <f t="shared" si="49"/>
        <v>2688</v>
      </c>
      <c r="N199">
        <v>9</v>
      </c>
      <c r="O199" s="14">
        <f t="shared" si="50"/>
        <v>1782</v>
      </c>
      <c r="P199">
        <v>2</v>
      </c>
      <c r="Q199" s="14">
        <f t="shared" si="51"/>
        <v>408</v>
      </c>
      <c r="R199">
        <v>1</v>
      </c>
      <c r="S199" s="14">
        <f>R199*210</f>
        <v>210</v>
      </c>
      <c r="T199" t="s">
        <v>33</v>
      </c>
      <c r="U199" s="14" t="s">
        <v>33</v>
      </c>
      <c r="V199" t="s">
        <v>33</v>
      </c>
      <c r="W199" s="14" t="s">
        <v>33</v>
      </c>
      <c r="X199" t="s">
        <v>33</v>
      </c>
      <c r="Y199" s="14" t="s">
        <v>33</v>
      </c>
      <c r="Z199" t="s">
        <v>33</v>
      </c>
      <c r="AA199" s="14" t="s">
        <v>33</v>
      </c>
      <c r="AB199" t="s">
        <v>33</v>
      </c>
      <c r="AC199" s="14" t="s">
        <v>33</v>
      </c>
      <c r="AD199" t="s">
        <v>33</v>
      </c>
      <c r="AE199" s="14" t="s">
        <v>33</v>
      </c>
      <c r="AF199" t="s">
        <v>33</v>
      </c>
      <c r="AG199" s="14" t="s">
        <v>33</v>
      </c>
      <c r="AH199" t="s">
        <v>33</v>
      </c>
      <c r="AI199" s="14" t="s">
        <v>33</v>
      </c>
      <c r="AJ199" t="s">
        <v>33</v>
      </c>
      <c r="AK199" s="14" t="s">
        <v>33</v>
      </c>
      <c r="AL199" t="s">
        <v>33</v>
      </c>
      <c r="AM199" s="14" t="s">
        <v>33</v>
      </c>
      <c r="AN199" t="s">
        <v>33</v>
      </c>
      <c r="AO199" s="14" t="s">
        <v>33</v>
      </c>
      <c r="AP199" t="s">
        <v>33</v>
      </c>
      <c r="AQ199" s="14" t="s">
        <v>33</v>
      </c>
      <c r="AR199" t="s">
        <v>33</v>
      </c>
      <c r="AS199" s="14" t="s">
        <v>33</v>
      </c>
      <c r="AT199" t="s">
        <v>33</v>
      </c>
      <c r="AU199" s="14" t="s">
        <v>33</v>
      </c>
      <c r="AV199" t="s">
        <v>33</v>
      </c>
      <c r="AW199" s="14" t="s">
        <v>33</v>
      </c>
      <c r="AX199" t="s">
        <v>33</v>
      </c>
      <c r="AY199" s="14" t="s">
        <v>33</v>
      </c>
      <c r="AZ199" t="s">
        <v>33</v>
      </c>
      <c r="BA199" s="14" t="s">
        <v>33</v>
      </c>
      <c r="BB199" t="s">
        <v>33</v>
      </c>
      <c r="BC199" s="14" t="s">
        <v>33</v>
      </c>
      <c r="BD199">
        <f t="shared" si="52"/>
        <v>30</v>
      </c>
      <c r="BE199">
        <f t="shared" si="53"/>
        <v>5832</v>
      </c>
      <c r="BF199">
        <f t="shared" si="54"/>
        <v>194.4</v>
      </c>
    </row>
    <row r="200" spans="1:59" x14ac:dyDescent="0.2">
      <c r="A200" t="s">
        <v>27</v>
      </c>
      <c r="B200" t="s">
        <v>7</v>
      </c>
      <c r="C200" t="s">
        <v>30</v>
      </c>
      <c r="D200" t="s">
        <v>33</v>
      </c>
      <c r="E200" s="14" t="s">
        <v>33</v>
      </c>
      <c r="F200" t="s">
        <v>33</v>
      </c>
      <c r="G200" s="14" t="s">
        <v>33</v>
      </c>
      <c r="H200">
        <v>5</v>
      </c>
      <c r="I200" s="14">
        <f t="shared" si="47"/>
        <v>900</v>
      </c>
      <c r="J200">
        <v>18</v>
      </c>
      <c r="K200" s="14">
        <f t="shared" si="48"/>
        <v>3348</v>
      </c>
      <c r="L200">
        <v>14</v>
      </c>
      <c r="M200" s="14">
        <f t="shared" si="49"/>
        <v>2688</v>
      </c>
      <c r="N200">
        <v>1</v>
      </c>
      <c r="O200" s="14">
        <f t="shared" si="50"/>
        <v>198</v>
      </c>
      <c r="P200">
        <v>2</v>
      </c>
      <c r="Q200" s="14">
        <f t="shared" si="51"/>
        <v>408</v>
      </c>
      <c r="R200">
        <v>1</v>
      </c>
      <c r="S200" s="14">
        <f>R200*210</f>
        <v>210</v>
      </c>
      <c r="T200" t="s">
        <v>33</v>
      </c>
      <c r="U200" s="14" t="s">
        <v>33</v>
      </c>
      <c r="V200" t="s">
        <v>33</v>
      </c>
      <c r="W200" s="14" t="s">
        <v>33</v>
      </c>
      <c r="X200" t="s">
        <v>33</v>
      </c>
      <c r="Y200" s="14" t="s">
        <v>33</v>
      </c>
      <c r="Z200" t="s">
        <v>33</v>
      </c>
      <c r="AA200" s="14" t="s">
        <v>33</v>
      </c>
      <c r="AB200" t="s">
        <v>33</v>
      </c>
      <c r="AC200" s="14" t="s">
        <v>33</v>
      </c>
      <c r="AD200" t="s">
        <v>33</v>
      </c>
      <c r="AE200" s="14" t="s">
        <v>33</v>
      </c>
      <c r="AF200" t="s">
        <v>33</v>
      </c>
      <c r="AG200" s="14" t="s">
        <v>33</v>
      </c>
      <c r="AH200" t="s">
        <v>33</v>
      </c>
      <c r="AI200" s="14" t="s">
        <v>33</v>
      </c>
      <c r="AJ200" t="s">
        <v>33</v>
      </c>
      <c r="AK200" s="14" t="s">
        <v>33</v>
      </c>
      <c r="AL200" t="s">
        <v>33</v>
      </c>
      <c r="AM200" s="14" t="s">
        <v>33</v>
      </c>
      <c r="AN200" t="s">
        <v>33</v>
      </c>
      <c r="AO200" s="14" t="s">
        <v>33</v>
      </c>
      <c r="AP200" t="s">
        <v>33</v>
      </c>
      <c r="AQ200" s="14" t="s">
        <v>33</v>
      </c>
      <c r="AR200" t="s">
        <v>33</v>
      </c>
      <c r="AS200" s="14" t="s">
        <v>33</v>
      </c>
      <c r="AT200" t="s">
        <v>33</v>
      </c>
      <c r="AU200" s="14" t="s">
        <v>33</v>
      </c>
      <c r="AV200" t="s">
        <v>33</v>
      </c>
      <c r="AW200" s="14" t="s">
        <v>33</v>
      </c>
      <c r="AX200" t="s">
        <v>33</v>
      </c>
      <c r="AY200" s="14" t="s">
        <v>33</v>
      </c>
      <c r="AZ200" t="s">
        <v>33</v>
      </c>
      <c r="BA200" s="14" t="s">
        <v>33</v>
      </c>
      <c r="BB200" t="s">
        <v>33</v>
      </c>
      <c r="BC200" s="14" t="s">
        <v>33</v>
      </c>
      <c r="BD200">
        <f t="shared" si="52"/>
        <v>41</v>
      </c>
      <c r="BE200">
        <f t="shared" si="53"/>
        <v>7752</v>
      </c>
      <c r="BF200">
        <f t="shared" si="54"/>
        <v>189.07317073170731</v>
      </c>
    </row>
    <row r="201" spans="1:59" x14ac:dyDescent="0.2">
      <c r="A201" t="s">
        <v>27</v>
      </c>
      <c r="B201" t="s">
        <v>8</v>
      </c>
      <c r="C201" t="s">
        <v>29</v>
      </c>
      <c r="D201" t="s">
        <v>33</v>
      </c>
      <c r="E201" s="14" t="s">
        <v>33</v>
      </c>
      <c r="F201" t="s">
        <v>33</v>
      </c>
      <c r="G201" s="14" t="s">
        <v>33</v>
      </c>
      <c r="H201">
        <v>0</v>
      </c>
      <c r="I201" s="14">
        <f t="shared" si="47"/>
        <v>0</v>
      </c>
      <c r="J201">
        <v>6</v>
      </c>
      <c r="K201" s="14">
        <f t="shared" si="48"/>
        <v>1116</v>
      </c>
      <c r="L201">
        <v>12</v>
      </c>
      <c r="M201" s="14">
        <f t="shared" si="49"/>
        <v>2304</v>
      </c>
      <c r="N201">
        <v>6</v>
      </c>
      <c r="O201" s="14">
        <f t="shared" si="50"/>
        <v>1188</v>
      </c>
      <c r="P201">
        <v>1</v>
      </c>
      <c r="Q201" s="14">
        <f t="shared" si="51"/>
        <v>204</v>
      </c>
      <c r="R201" t="s">
        <v>33</v>
      </c>
      <c r="S201" s="14" t="s">
        <v>33</v>
      </c>
      <c r="T201" t="s">
        <v>33</v>
      </c>
      <c r="U201" s="14" t="s">
        <v>33</v>
      </c>
      <c r="V201">
        <v>1</v>
      </c>
      <c r="W201" s="14">
        <f>V201*222</f>
        <v>222</v>
      </c>
      <c r="X201" t="s">
        <v>33</v>
      </c>
      <c r="Y201" s="14" t="s">
        <v>33</v>
      </c>
      <c r="Z201" t="s">
        <v>33</v>
      </c>
      <c r="AA201" s="14" t="s">
        <v>33</v>
      </c>
      <c r="AB201" t="s">
        <v>33</v>
      </c>
      <c r="AC201" s="14" t="s">
        <v>33</v>
      </c>
      <c r="AD201" t="s">
        <v>33</v>
      </c>
      <c r="AE201" s="14" t="s">
        <v>33</v>
      </c>
      <c r="AF201" t="s">
        <v>33</v>
      </c>
      <c r="AG201" s="14" t="s">
        <v>33</v>
      </c>
      <c r="AH201" t="s">
        <v>33</v>
      </c>
      <c r="AI201" s="14" t="s">
        <v>33</v>
      </c>
      <c r="AJ201" t="s">
        <v>33</v>
      </c>
      <c r="AK201" s="14" t="s">
        <v>33</v>
      </c>
      <c r="AL201" t="s">
        <v>33</v>
      </c>
      <c r="AM201" s="14" t="s">
        <v>33</v>
      </c>
      <c r="AN201" t="s">
        <v>33</v>
      </c>
      <c r="AO201" s="14" t="s">
        <v>33</v>
      </c>
      <c r="AP201" t="s">
        <v>33</v>
      </c>
      <c r="AQ201" s="14" t="s">
        <v>33</v>
      </c>
      <c r="AR201" t="s">
        <v>33</v>
      </c>
      <c r="AS201" s="14" t="s">
        <v>33</v>
      </c>
      <c r="AT201" t="s">
        <v>33</v>
      </c>
      <c r="AU201" s="14" t="s">
        <v>33</v>
      </c>
      <c r="AV201" t="s">
        <v>33</v>
      </c>
      <c r="AW201" s="14" t="s">
        <v>33</v>
      </c>
      <c r="AX201" t="s">
        <v>33</v>
      </c>
      <c r="AY201" s="14" t="s">
        <v>33</v>
      </c>
      <c r="AZ201" t="s">
        <v>33</v>
      </c>
      <c r="BA201" s="14" t="s">
        <v>33</v>
      </c>
      <c r="BB201" t="s">
        <v>33</v>
      </c>
      <c r="BC201" s="14" t="s">
        <v>33</v>
      </c>
      <c r="BD201">
        <f t="shared" si="52"/>
        <v>26</v>
      </c>
      <c r="BE201">
        <f t="shared" si="53"/>
        <v>5034</v>
      </c>
      <c r="BF201">
        <f t="shared" si="54"/>
        <v>193.61538461538461</v>
      </c>
    </row>
    <row r="202" spans="1:59" x14ac:dyDescent="0.2">
      <c r="A202" t="s">
        <v>27</v>
      </c>
      <c r="B202" t="s">
        <v>8</v>
      </c>
      <c r="C202" t="s">
        <v>30</v>
      </c>
      <c r="D202" t="s">
        <v>33</v>
      </c>
      <c r="E202" s="14" t="s">
        <v>33</v>
      </c>
      <c r="F202" t="s">
        <v>33</v>
      </c>
      <c r="G202" s="14" t="s">
        <v>33</v>
      </c>
      <c r="H202">
        <v>7</v>
      </c>
      <c r="I202" s="14">
        <f t="shared" si="47"/>
        <v>1260</v>
      </c>
      <c r="J202">
        <v>10</v>
      </c>
      <c r="K202" s="14">
        <f t="shared" si="48"/>
        <v>1860</v>
      </c>
      <c r="L202">
        <v>7</v>
      </c>
      <c r="M202" s="14">
        <f t="shared" si="49"/>
        <v>1344</v>
      </c>
      <c r="N202">
        <v>6</v>
      </c>
      <c r="O202" s="14">
        <f t="shared" si="50"/>
        <v>1188</v>
      </c>
      <c r="P202">
        <v>1</v>
      </c>
      <c r="Q202" s="14">
        <f t="shared" si="51"/>
        <v>204</v>
      </c>
      <c r="R202" t="s">
        <v>33</v>
      </c>
      <c r="S202" s="14" t="s">
        <v>33</v>
      </c>
      <c r="T202" t="s">
        <v>33</v>
      </c>
      <c r="U202" s="14" t="s">
        <v>33</v>
      </c>
      <c r="V202">
        <v>0</v>
      </c>
      <c r="W202" s="14">
        <f>V202*222</f>
        <v>0</v>
      </c>
      <c r="X202" t="s">
        <v>33</v>
      </c>
      <c r="Y202" s="14" t="s">
        <v>33</v>
      </c>
      <c r="Z202" t="s">
        <v>33</v>
      </c>
      <c r="AA202" s="14" t="s">
        <v>33</v>
      </c>
      <c r="AB202" t="s">
        <v>33</v>
      </c>
      <c r="AC202" s="14" t="s">
        <v>33</v>
      </c>
      <c r="AD202" t="s">
        <v>33</v>
      </c>
      <c r="AE202" s="14" t="s">
        <v>33</v>
      </c>
      <c r="AF202" t="s">
        <v>33</v>
      </c>
      <c r="AG202" s="14" t="s">
        <v>33</v>
      </c>
      <c r="AH202" t="s">
        <v>33</v>
      </c>
      <c r="AI202" s="14" t="s">
        <v>33</v>
      </c>
      <c r="AJ202" t="s">
        <v>33</v>
      </c>
      <c r="AK202" s="14" t="s">
        <v>33</v>
      </c>
      <c r="AL202" t="s">
        <v>33</v>
      </c>
      <c r="AM202" s="14" t="s">
        <v>33</v>
      </c>
      <c r="AN202" t="s">
        <v>33</v>
      </c>
      <c r="AO202" s="14" t="s">
        <v>33</v>
      </c>
      <c r="AP202" t="s">
        <v>33</v>
      </c>
      <c r="AQ202" s="14" t="s">
        <v>33</v>
      </c>
      <c r="AR202" t="s">
        <v>33</v>
      </c>
      <c r="AS202" s="14" t="s">
        <v>33</v>
      </c>
      <c r="AT202" t="s">
        <v>33</v>
      </c>
      <c r="AU202" s="14" t="s">
        <v>33</v>
      </c>
      <c r="AV202" t="s">
        <v>33</v>
      </c>
      <c r="AW202" s="14" t="s">
        <v>33</v>
      </c>
      <c r="AX202" t="s">
        <v>33</v>
      </c>
      <c r="AY202" s="14" t="s">
        <v>33</v>
      </c>
      <c r="AZ202" t="s">
        <v>33</v>
      </c>
      <c r="BA202" s="14" t="s">
        <v>33</v>
      </c>
      <c r="BB202" t="s">
        <v>33</v>
      </c>
      <c r="BC202" s="14" t="s">
        <v>33</v>
      </c>
      <c r="BD202">
        <f t="shared" si="52"/>
        <v>31</v>
      </c>
      <c r="BE202">
        <f t="shared" si="53"/>
        <v>5856</v>
      </c>
      <c r="BF202">
        <f t="shared" si="54"/>
        <v>188.90322580645162</v>
      </c>
    </row>
    <row r="203" spans="1:59" x14ac:dyDescent="0.2">
      <c r="BG20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20F8-1832-435D-AAF4-2EA67E69651A}">
  <dimension ref="A1:Y219"/>
  <sheetViews>
    <sheetView zoomScale="120" zoomScaleNormal="120" workbookViewId="0">
      <selection activeCell="AI103" sqref="AI103"/>
    </sheetView>
  </sheetViews>
  <sheetFormatPr defaultRowHeight="12.75" x14ac:dyDescent="0.2"/>
  <cols>
    <col min="8" max="8" width="13.7109375" customWidth="1"/>
    <col min="11" max="11" width="14.7109375" customWidth="1"/>
    <col min="12" max="12" width="10.85546875" customWidth="1"/>
    <col min="13" max="13" width="13.28515625" customWidth="1"/>
  </cols>
  <sheetData>
    <row r="1" spans="1:20" x14ac:dyDescent="0.2">
      <c r="A1" t="s">
        <v>3</v>
      </c>
      <c r="B1" t="s">
        <v>4</v>
      </c>
      <c r="C1" t="s">
        <v>30</v>
      </c>
      <c r="D1">
        <v>60</v>
      </c>
      <c r="E1">
        <v>11058</v>
      </c>
      <c r="F1">
        <v>184.3</v>
      </c>
      <c r="L1" t="s">
        <v>30</v>
      </c>
      <c r="M1" t="s">
        <v>29</v>
      </c>
      <c r="S1" t="s">
        <v>80</v>
      </c>
      <c r="T1" t="s">
        <v>81</v>
      </c>
    </row>
    <row r="2" spans="1:20" x14ac:dyDescent="0.2">
      <c r="A2" t="s">
        <v>3</v>
      </c>
      <c r="B2" t="s">
        <v>5</v>
      </c>
      <c r="C2" t="s">
        <v>30</v>
      </c>
      <c r="D2">
        <v>53</v>
      </c>
      <c r="E2">
        <v>9612</v>
      </c>
      <c r="F2">
        <v>181.35849056603774</v>
      </c>
      <c r="K2" t="s">
        <v>83</v>
      </c>
      <c r="L2">
        <v>184.73827500459197</v>
      </c>
      <c r="M2">
        <v>188.98839722263341</v>
      </c>
      <c r="S2">
        <v>2.2485252683424304</v>
      </c>
      <c r="T2">
        <v>2.0214685495405074</v>
      </c>
    </row>
    <row r="3" spans="1:20" x14ac:dyDescent="0.2">
      <c r="A3" t="s">
        <v>3</v>
      </c>
      <c r="B3" t="s">
        <v>6</v>
      </c>
      <c r="C3" t="s">
        <v>30</v>
      </c>
      <c r="D3">
        <v>77</v>
      </c>
      <c r="E3">
        <v>14652</v>
      </c>
      <c r="F3">
        <v>190.28571428571428</v>
      </c>
      <c r="K3" t="s">
        <v>82</v>
      </c>
      <c r="L3">
        <v>185.17402249359733</v>
      </c>
      <c r="M3">
        <v>187.00856980693669</v>
      </c>
      <c r="S3">
        <v>1.9312426020289581</v>
      </c>
      <c r="T3">
        <v>1.82493334414936</v>
      </c>
    </row>
    <row r="4" spans="1:20" x14ac:dyDescent="0.2">
      <c r="A4" t="s">
        <v>3</v>
      </c>
      <c r="B4" t="s">
        <v>7</v>
      </c>
      <c r="C4" t="s">
        <v>30</v>
      </c>
      <c r="D4">
        <v>61</v>
      </c>
      <c r="E4">
        <v>11286</v>
      </c>
      <c r="F4">
        <v>185.01639344262296</v>
      </c>
      <c r="K4" t="s">
        <v>84</v>
      </c>
      <c r="L4">
        <v>196.70165458017874</v>
      </c>
      <c r="M4">
        <v>198.39805315540951</v>
      </c>
      <c r="S4">
        <v>5.7172745661826019</v>
      </c>
      <c r="T4">
        <v>4.8921021652522247</v>
      </c>
    </row>
    <row r="5" spans="1:20" x14ac:dyDescent="0.2">
      <c r="A5" t="s">
        <v>3</v>
      </c>
      <c r="B5" t="s">
        <v>8</v>
      </c>
      <c r="C5" t="s">
        <v>30</v>
      </c>
      <c r="D5">
        <v>70</v>
      </c>
      <c r="E5">
        <v>13134</v>
      </c>
      <c r="F5">
        <v>187.62857142857143</v>
      </c>
      <c r="G5">
        <f>AVERAGE(F1:F5)</f>
        <v>185.7178339445893</v>
      </c>
      <c r="H5">
        <f>STDEV(F1:F5)/SQRT(5)</f>
        <v>1.5169475124057543</v>
      </c>
      <c r="K5" t="s">
        <v>85</v>
      </c>
      <c r="L5">
        <v>200.25970819042215</v>
      </c>
      <c r="M5">
        <v>205.26443126434279</v>
      </c>
      <c r="S5">
        <v>2.5764756400598916</v>
      </c>
      <c r="T5">
        <v>2.604636618152341</v>
      </c>
    </row>
    <row r="6" spans="1:20" x14ac:dyDescent="0.2">
      <c r="A6" t="s">
        <v>3</v>
      </c>
      <c r="B6" t="s">
        <v>4</v>
      </c>
      <c r="C6" t="s">
        <v>29</v>
      </c>
      <c r="D6">
        <v>74</v>
      </c>
      <c r="E6">
        <v>14094</v>
      </c>
      <c r="F6">
        <v>190.45945945945945</v>
      </c>
    </row>
    <row r="7" spans="1:20" x14ac:dyDescent="0.2">
      <c r="A7" t="s">
        <v>3</v>
      </c>
      <c r="B7" t="s">
        <v>5</v>
      </c>
      <c r="C7" t="s">
        <v>29</v>
      </c>
      <c r="D7">
        <v>54</v>
      </c>
      <c r="E7">
        <v>10326</v>
      </c>
      <c r="F7">
        <v>191.22222222222223</v>
      </c>
      <c r="L7" t="s">
        <v>30</v>
      </c>
      <c r="M7" t="s">
        <v>29</v>
      </c>
    </row>
    <row r="8" spans="1:20" x14ac:dyDescent="0.2">
      <c r="A8" t="s">
        <v>3</v>
      </c>
      <c r="B8" t="s">
        <v>6</v>
      </c>
      <c r="C8" t="s">
        <v>29</v>
      </c>
      <c r="D8">
        <v>63</v>
      </c>
      <c r="E8">
        <v>12252</v>
      </c>
      <c r="F8">
        <v>194.47619047619048</v>
      </c>
      <c r="K8" t="s">
        <v>6</v>
      </c>
      <c r="L8">
        <v>184.95614874909467</v>
      </c>
      <c r="M8">
        <v>187.99848351478505</v>
      </c>
      <c r="S8">
        <v>0.2178737445026826</v>
      </c>
      <c r="T8">
        <v>0.98991370784835897</v>
      </c>
    </row>
    <row r="9" spans="1:20" x14ac:dyDescent="0.2">
      <c r="A9" t="s">
        <v>3</v>
      </c>
      <c r="B9" t="s">
        <v>7</v>
      </c>
      <c r="C9" t="s">
        <v>29</v>
      </c>
      <c r="D9">
        <v>63</v>
      </c>
      <c r="E9">
        <v>11964</v>
      </c>
      <c r="F9">
        <v>189.9047619047619</v>
      </c>
      <c r="K9" t="s">
        <v>8</v>
      </c>
      <c r="L9">
        <v>198.48068138530044</v>
      </c>
      <c r="M9">
        <v>201.83124220987617</v>
      </c>
      <c r="O9">
        <f>L9-L8</f>
        <v>13.524532636205777</v>
      </c>
      <c r="P9">
        <f>M9-M8</f>
        <v>13.832758695091115</v>
      </c>
      <c r="S9">
        <v>1.7790268051217026</v>
      </c>
      <c r="T9">
        <v>3.4331890544666379</v>
      </c>
    </row>
    <row r="10" spans="1:20" x14ac:dyDescent="0.2">
      <c r="A10" t="s">
        <v>3</v>
      </c>
      <c r="B10" t="s">
        <v>8</v>
      </c>
      <c r="C10" t="s">
        <v>29</v>
      </c>
      <c r="D10">
        <v>71</v>
      </c>
      <c r="E10">
        <v>13578</v>
      </c>
      <c r="F10">
        <v>191.2394366197183</v>
      </c>
      <c r="G10">
        <f>AVERAGE(F6:F10)</f>
        <v>191.46041413647046</v>
      </c>
      <c r="H10">
        <f>STDEV(F6:F10)/SQRT(5)</f>
        <v>0.79443179422743126</v>
      </c>
    </row>
    <row r="12" spans="1:20" x14ac:dyDescent="0.2">
      <c r="A12" t="s">
        <v>9</v>
      </c>
      <c r="B12" t="s">
        <v>4</v>
      </c>
      <c r="C12" t="s">
        <v>30</v>
      </c>
      <c r="D12">
        <v>54</v>
      </c>
      <c r="E12">
        <v>9762</v>
      </c>
      <c r="F12">
        <v>180.77777777777777</v>
      </c>
    </row>
    <row r="13" spans="1:20" x14ac:dyDescent="0.2">
      <c r="A13" t="s">
        <v>9</v>
      </c>
      <c r="B13" t="s">
        <v>5</v>
      </c>
      <c r="C13" t="s">
        <v>30</v>
      </c>
      <c r="D13">
        <v>50</v>
      </c>
      <c r="E13">
        <v>9024</v>
      </c>
      <c r="F13">
        <v>180.48</v>
      </c>
    </row>
    <row r="14" spans="1:20" x14ac:dyDescent="0.2">
      <c r="A14" t="s">
        <v>9</v>
      </c>
      <c r="B14" t="s">
        <v>6</v>
      </c>
      <c r="C14" t="s">
        <v>30</v>
      </c>
      <c r="D14">
        <v>44</v>
      </c>
      <c r="E14">
        <v>7974</v>
      </c>
      <c r="F14">
        <v>181.22727272727272</v>
      </c>
    </row>
    <row r="15" spans="1:20" x14ac:dyDescent="0.2">
      <c r="A15" t="s">
        <v>9</v>
      </c>
      <c r="B15" t="s">
        <v>7</v>
      </c>
      <c r="C15" t="s">
        <v>30</v>
      </c>
      <c r="D15">
        <v>48</v>
      </c>
      <c r="E15">
        <v>8760</v>
      </c>
      <c r="F15">
        <v>182.5</v>
      </c>
    </row>
    <row r="16" spans="1:20" x14ac:dyDescent="0.2">
      <c r="A16" t="s">
        <v>9</v>
      </c>
      <c r="B16" t="s">
        <v>8</v>
      </c>
      <c r="C16" t="s">
        <v>30</v>
      </c>
      <c r="D16">
        <v>48</v>
      </c>
      <c r="E16">
        <v>8724</v>
      </c>
      <c r="F16">
        <v>181.75</v>
      </c>
      <c r="G16">
        <f>AVERAGE(F12:F16)</f>
        <v>181.34701010101008</v>
      </c>
      <c r="H16">
        <f>STDEV(F12:F16)/SQRT(5)</f>
        <v>0.35929483419583075</v>
      </c>
    </row>
    <row r="17" spans="1:21" x14ac:dyDescent="0.2">
      <c r="A17" t="s">
        <v>9</v>
      </c>
      <c r="B17" t="s">
        <v>4</v>
      </c>
      <c r="C17" t="s">
        <v>29</v>
      </c>
      <c r="D17">
        <v>45</v>
      </c>
      <c r="E17">
        <v>8346</v>
      </c>
      <c r="F17">
        <v>185.46666666666667</v>
      </c>
    </row>
    <row r="18" spans="1:21" x14ac:dyDescent="0.2">
      <c r="A18" t="s">
        <v>9</v>
      </c>
      <c r="B18" t="s">
        <v>5</v>
      </c>
      <c r="C18" t="s">
        <v>29</v>
      </c>
      <c r="D18">
        <v>40</v>
      </c>
      <c r="E18">
        <v>7362</v>
      </c>
      <c r="F18">
        <v>184.05</v>
      </c>
    </row>
    <row r="19" spans="1:21" x14ac:dyDescent="0.2">
      <c r="A19" t="s">
        <v>9</v>
      </c>
      <c r="B19" t="s">
        <v>6</v>
      </c>
      <c r="C19" t="s">
        <v>29</v>
      </c>
      <c r="D19">
        <v>57</v>
      </c>
      <c r="E19">
        <v>10632</v>
      </c>
      <c r="F19">
        <v>186.52631578947367</v>
      </c>
    </row>
    <row r="20" spans="1:21" x14ac:dyDescent="0.2">
      <c r="A20" t="s">
        <v>9</v>
      </c>
      <c r="B20" t="s">
        <v>7</v>
      </c>
      <c r="C20" t="s">
        <v>29</v>
      </c>
      <c r="D20">
        <v>55</v>
      </c>
      <c r="E20">
        <v>10194</v>
      </c>
      <c r="F20">
        <v>185.34545454545454</v>
      </c>
    </row>
    <row r="21" spans="1:21" x14ac:dyDescent="0.2">
      <c r="A21" t="s">
        <v>9</v>
      </c>
      <c r="B21" t="s">
        <v>8</v>
      </c>
      <c r="C21" t="s">
        <v>29</v>
      </c>
      <c r="D21">
        <v>53</v>
      </c>
      <c r="E21">
        <v>9876</v>
      </c>
      <c r="F21">
        <v>186.33962264150944</v>
      </c>
      <c r="G21">
        <f>AVERAGE(F17:F21)</f>
        <v>185.54561192862087</v>
      </c>
      <c r="H21">
        <f>STDEV(F17:F21)/SQRT(5)</f>
        <v>0.44019219940427223</v>
      </c>
    </row>
    <row r="23" spans="1:21" x14ac:dyDescent="0.2">
      <c r="A23" t="s">
        <v>10</v>
      </c>
      <c r="B23" t="s">
        <v>4</v>
      </c>
      <c r="C23" t="s">
        <v>30</v>
      </c>
      <c r="D23">
        <v>76</v>
      </c>
      <c r="E23">
        <v>14412</v>
      </c>
      <c r="F23">
        <v>189.63157894736841</v>
      </c>
    </row>
    <row r="24" spans="1:21" x14ac:dyDescent="0.2">
      <c r="A24" t="s">
        <v>10</v>
      </c>
      <c r="B24" t="s">
        <v>5</v>
      </c>
      <c r="C24" t="s">
        <v>30</v>
      </c>
      <c r="D24">
        <v>85</v>
      </c>
      <c r="E24">
        <v>16704</v>
      </c>
      <c r="F24">
        <v>196.51764705882354</v>
      </c>
    </row>
    <row r="25" spans="1:21" x14ac:dyDescent="0.2">
      <c r="A25" t="s">
        <v>10</v>
      </c>
      <c r="B25" t="s">
        <v>6</v>
      </c>
      <c r="C25" t="s">
        <v>30</v>
      </c>
      <c r="D25">
        <v>68</v>
      </c>
      <c r="E25">
        <v>13146</v>
      </c>
      <c r="F25">
        <v>193.3235294117647</v>
      </c>
    </row>
    <row r="26" spans="1:21" x14ac:dyDescent="0.2">
      <c r="A26" t="s">
        <v>10</v>
      </c>
      <c r="B26" t="s">
        <v>7</v>
      </c>
      <c r="C26" t="s">
        <v>30</v>
      </c>
      <c r="D26">
        <v>77</v>
      </c>
      <c r="E26">
        <v>14700</v>
      </c>
      <c r="F26">
        <v>190.90909090909091</v>
      </c>
    </row>
    <row r="27" spans="1:21" x14ac:dyDescent="0.2">
      <c r="A27" t="s">
        <v>10</v>
      </c>
      <c r="B27" t="s">
        <v>8</v>
      </c>
      <c r="C27" t="s">
        <v>30</v>
      </c>
      <c r="D27">
        <v>87</v>
      </c>
      <c r="E27">
        <v>16932</v>
      </c>
      <c r="F27">
        <v>194.62068965517241</v>
      </c>
      <c r="G27">
        <f>AVERAGE(F23:F27)</f>
        <v>193.000507196444</v>
      </c>
      <c r="H27">
        <f>STDEV(F23:F27)/SQRT(5)</f>
        <v>1.241436808644049</v>
      </c>
    </row>
    <row r="28" spans="1:21" x14ac:dyDescent="0.2">
      <c r="A28" t="s">
        <v>10</v>
      </c>
      <c r="B28" t="s">
        <v>4</v>
      </c>
      <c r="C28" t="s">
        <v>29</v>
      </c>
      <c r="D28">
        <v>78</v>
      </c>
      <c r="E28">
        <v>14940</v>
      </c>
      <c r="F28">
        <v>191.53846153846155</v>
      </c>
    </row>
    <row r="29" spans="1:21" x14ac:dyDescent="0.2">
      <c r="A29" t="s">
        <v>10</v>
      </c>
      <c r="B29" t="s">
        <v>5</v>
      </c>
      <c r="C29" t="s">
        <v>29</v>
      </c>
      <c r="D29">
        <v>103</v>
      </c>
      <c r="E29">
        <v>20442</v>
      </c>
      <c r="F29">
        <v>198.46601941747574</v>
      </c>
      <c r="K29" t="s">
        <v>88</v>
      </c>
      <c r="M29" t="s">
        <v>100</v>
      </c>
      <c r="N29" t="s">
        <v>101</v>
      </c>
      <c r="P29" t="s">
        <v>99</v>
      </c>
      <c r="R29" t="s">
        <v>100</v>
      </c>
      <c r="S29" t="s">
        <v>101</v>
      </c>
    </row>
    <row r="30" spans="1:21" x14ac:dyDescent="0.2">
      <c r="A30" t="s">
        <v>10</v>
      </c>
      <c r="B30" t="s">
        <v>6</v>
      </c>
      <c r="C30" t="s">
        <v>29</v>
      </c>
      <c r="D30">
        <v>76</v>
      </c>
      <c r="E30">
        <v>14766</v>
      </c>
      <c r="F30">
        <v>194.28947368421052</v>
      </c>
      <c r="K30" t="s">
        <v>87</v>
      </c>
      <c r="L30" t="s">
        <v>3</v>
      </c>
      <c r="M30">
        <v>185.7178339445893</v>
      </c>
      <c r="N30">
        <v>1.5169475124057543</v>
      </c>
      <c r="P30" t="s">
        <v>87</v>
      </c>
      <c r="Q30" t="s">
        <v>3</v>
      </c>
      <c r="R30">
        <v>191.46041413647046</v>
      </c>
      <c r="S30">
        <v>0.79443179422743126</v>
      </c>
      <c r="U30" t="s">
        <v>17</v>
      </c>
    </row>
    <row r="31" spans="1:21" x14ac:dyDescent="0.2">
      <c r="A31" t="s">
        <v>10</v>
      </c>
      <c r="B31" t="s">
        <v>7</v>
      </c>
      <c r="C31" t="s">
        <v>29</v>
      </c>
      <c r="D31">
        <v>79</v>
      </c>
      <c r="E31">
        <v>15504</v>
      </c>
      <c r="F31">
        <v>196.25316455696202</v>
      </c>
      <c r="L31" t="s">
        <v>9</v>
      </c>
      <c r="M31">
        <v>181.34701010101008</v>
      </c>
      <c r="N31">
        <v>0.35929483419583075</v>
      </c>
      <c r="Q31" t="s">
        <v>9</v>
      </c>
      <c r="R31">
        <v>185.54561192862087</v>
      </c>
      <c r="S31">
        <v>0.44019219940427223</v>
      </c>
    </row>
    <row r="32" spans="1:21" x14ac:dyDescent="0.2">
      <c r="A32" t="s">
        <v>10</v>
      </c>
      <c r="B32" t="s">
        <v>8</v>
      </c>
      <c r="C32" t="s">
        <v>29</v>
      </c>
      <c r="D32">
        <v>91</v>
      </c>
      <c r="E32">
        <v>17898</v>
      </c>
      <c r="F32">
        <v>196.68131868131869</v>
      </c>
      <c r="G32">
        <f>AVERAGE(F28:F32)</f>
        <v>195.4456875756857</v>
      </c>
      <c r="H32">
        <f>STDEV(F28:F32)/SQRT(5)</f>
        <v>1.1811954454668421</v>
      </c>
      <c r="L32" t="s">
        <v>10</v>
      </c>
      <c r="M32">
        <v>193.000507196444</v>
      </c>
      <c r="N32">
        <v>1.241436808644049</v>
      </c>
      <c r="Q32" t="s">
        <v>10</v>
      </c>
      <c r="R32">
        <v>195.4456875756857</v>
      </c>
      <c r="S32">
        <v>1.1811954454668421</v>
      </c>
    </row>
    <row r="33" spans="1:19" x14ac:dyDescent="0.2">
      <c r="L33" t="s">
        <v>11</v>
      </c>
      <c r="M33">
        <v>183.09330383341393</v>
      </c>
      <c r="N33">
        <v>1.8912712203795448</v>
      </c>
      <c r="Q33" t="s">
        <v>11</v>
      </c>
      <c r="R33">
        <v>188.11803550599174</v>
      </c>
      <c r="S33">
        <v>1.7770441384967872</v>
      </c>
    </row>
    <row r="34" spans="1:19" x14ac:dyDescent="0.2">
      <c r="A34" t="s">
        <v>11</v>
      </c>
      <c r="B34" t="s">
        <v>4</v>
      </c>
      <c r="C34" t="s">
        <v>30</v>
      </c>
      <c r="D34">
        <v>35</v>
      </c>
      <c r="E34">
        <v>6228</v>
      </c>
      <c r="F34">
        <v>177.94285714285715</v>
      </c>
      <c r="L34" t="s">
        <v>12</v>
      </c>
      <c r="M34">
        <v>180.53271994750259</v>
      </c>
      <c r="N34">
        <v>0.81573253981836558</v>
      </c>
      <c r="Q34" t="s">
        <v>12</v>
      </c>
      <c r="R34">
        <v>184.37223696639825</v>
      </c>
      <c r="S34">
        <v>0.16342184580506483</v>
      </c>
    </row>
    <row r="35" spans="1:19" x14ac:dyDescent="0.2">
      <c r="A35" t="s">
        <v>11</v>
      </c>
      <c r="B35" t="s">
        <v>5</v>
      </c>
      <c r="C35" t="s">
        <v>30</v>
      </c>
      <c r="D35">
        <v>73</v>
      </c>
      <c r="E35">
        <v>13728</v>
      </c>
      <c r="F35">
        <v>188.05479452054794</v>
      </c>
      <c r="L35" t="s">
        <v>13</v>
      </c>
      <c r="M35">
        <v>187.28232751444421</v>
      </c>
      <c r="N35">
        <v>0.77802826557163363</v>
      </c>
      <c r="Q35" t="s">
        <v>13</v>
      </c>
      <c r="R35">
        <v>188.67630344810468</v>
      </c>
      <c r="S35">
        <v>1.3547330077775039</v>
      </c>
    </row>
    <row r="36" spans="1:19" x14ac:dyDescent="0.2">
      <c r="A36" t="s">
        <v>11</v>
      </c>
      <c r="B36" t="s">
        <v>6</v>
      </c>
      <c r="C36" t="s">
        <v>30</v>
      </c>
      <c r="D36">
        <v>51</v>
      </c>
      <c r="E36">
        <v>9402</v>
      </c>
      <c r="F36">
        <v>184.35294117647058</v>
      </c>
      <c r="L36" t="s">
        <v>14</v>
      </c>
      <c r="Q36" t="s">
        <v>14</v>
      </c>
    </row>
    <row r="37" spans="1:19" x14ac:dyDescent="0.2">
      <c r="A37" t="s">
        <v>11</v>
      </c>
      <c r="B37" t="s">
        <v>7</v>
      </c>
      <c r="C37" t="s">
        <v>30</v>
      </c>
      <c r="D37">
        <v>71</v>
      </c>
      <c r="E37">
        <v>13176</v>
      </c>
      <c r="F37">
        <v>185.57746478873239</v>
      </c>
      <c r="L37" t="s">
        <v>15</v>
      </c>
      <c r="Q37" t="s">
        <v>15</v>
      </c>
    </row>
    <row r="38" spans="1:19" x14ac:dyDescent="0.2">
      <c r="A38" t="s">
        <v>11</v>
      </c>
      <c r="B38" t="s">
        <v>8</v>
      </c>
      <c r="C38" t="s">
        <v>30</v>
      </c>
      <c r="D38">
        <v>39</v>
      </c>
      <c r="E38">
        <v>7002</v>
      </c>
      <c r="F38">
        <v>179.53846153846155</v>
      </c>
      <c r="G38">
        <f>AVERAGE(F34:F38)</f>
        <v>183.09330383341393</v>
      </c>
      <c r="H38">
        <f>STDEV(F34:F38)/SQRT(5)</f>
        <v>1.8912712203795448</v>
      </c>
      <c r="L38" t="s">
        <v>16</v>
      </c>
      <c r="Q38" t="s">
        <v>16</v>
      </c>
    </row>
    <row r="39" spans="1:19" x14ac:dyDescent="0.2">
      <c r="A39" t="s">
        <v>11</v>
      </c>
      <c r="B39" t="s">
        <v>4</v>
      </c>
      <c r="C39" t="s">
        <v>29</v>
      </c>
      <c r="D39">
        <v>41</v>
      </c>
      <c r="E39">
        <v>7524</v>
      </c>
      <c r="F39">
        <v>183.51219512195121</v>
      </c>
      <c r="L39" t="s">
        <v>17</v>
      </c>
      <c r="Q39" t="s">
        <v>17</v>
      </c>
    </row>
    <row r="40" spans="1:19" x14ac:dyDescent="0.2">
      <c r="A40" t="s">
        <v>11</v>
      </c>
      <c r="B40" t="s">
        <v>5</v>
      </c>
      <c r="C40" t="s">
        <v>29</v>
      </c>
      <c r="D40">
        <v>88</v>
      </c>
      <c r="E40">
        <v>17022</v>
      </c>
      <c r="F40">
        <v>193.43181818181819</v>
      </c>
      <c r="K40" t="s">
        <v>86</v>
      </c>
      <c r="L40" t="s">
        <v>89</v>
      </c>
      <c r="P40" t="s">
        <v>86</v>
      </c>
      <c r="Q40" t="s">
        <v>89</v>
      </c>
    </row>
    <row r="41" spans="1:19" x14ac:dyDescent="0.2">
      <c r="A41" t="s">
        <v>11</v>
      </c>
      <c r="B41" t="s">
        <v>6</v>
      </c>
      <c r="C41" t="s">
        <v>29</v>
      </c>
      <c r="D41">
        <v>61</v>
      </c>
      <c r="E41">
        <v>11598</v>
      </c>
      <c r="F41">
        <v>190.13114754098362</v>
      </c>
      <c r="L41" t="s">
        <v>90</v>
      </c>
      <c r="Q41" t="s">
        <v>90</v>
      </c>
    </row>
    <row r="42" spans="1:19" x14ac:dyDescent="0.2">
      <c r="A42" t="s">
        <v>11</v>
      </c>
      <c r="B42" t="s">
        <v>7</v>
      </c>
      <c r="C42" t="s">
        <v>29</v>
      </c>
      <c r="D42">
        <v>58</v>
      </c>
      <c r="E42">
        <v>10932</v>
      </c>
      <c r="F42">
        <v>188.48275862068965</v>
      </c>
      <c r="L42" t="s">
        <v>91</v>
      </c>
      <c r="Q42" t="s">
        <v>91</v>
      </c>
    </row>
    <row r="43" spans="1:19" x14ac:dyDescent="0.2">
      <c r="A43" t="s">
        <v>11</v>
      </c>
      <c r="B43" t="s">
        <v>8</v>
      </c>
      <c r="C43" t="s">
        <v>29</v>
      </c>
      <c r="D43">
        <v>31</v>
      </c>
      <c r="E43">
        <v>5736</v>
      </c>
      <c r="F43">
        <v>185.03225806451613</v>
      </c>
      <c r="G43">
        <f>AVERAGE(F39:F43)</f>
        <v>188.11803550599174</v>
      </c>
      <c r="H43">
        <f>STDEV(F39:F43)/SQRT(5)</f>
        <v>1.7770441384967872</v>
      </c>
      <c r="L43" t="s">
        <v>92</v>
      </c>
      <c r="Q43" t="s">
        <v>92</v>
      </c>
    </row>
    <row r="44" spans="1:19" x14ac:dyDescent="0.2">
      <c r="L44" t="s">
        <v>93</v>
      </c>
      <c r="Q44" t="s">
        <v>93</v>
      </c>
    </row>
    <row r="45" spans="1:19" x14ac:dyDescent="0.2">
      <c r="A45" t="s">
        <v>12</v>
      </c>
      <c r="B45" t="s">
        <v>4</v>
      </c>
      <c r="C45" t="s">
        <v>30</v>
      </c>
      <c r="D45">
        <v>23</v>
      </c>
      <c r="E45">
        <v>4104</v>
      </c>
      <c r="F45">
        <v>178.43478260869566</v>
      </c>
      <c r="L45" t="s">
        <v>94</v>
      </c>
      <c r="Q45" t="s">
        <v>94</v>
      </c>
    </row>
    <row r="46" spans="1:19" x14ac:dyDescent="0.2">
      <c r="A46" t="s">
        <v>12</v>
      </c>
      <c r="B46" t="s">
        <v>5</v>
      </c>
      <c r="C46" t="s">
        <v>30</v>
      </c>
      <c r="D46">
        <v>37</v>
      </c>
      <c r="E46">
        <v>6696</v>
      </c>
      <c r="F46">
        <v>180.97297297297297</v>
      </c>
      <c r="L46" t="s">
        <v>95</v>
      </c>
      <c r="Q46" t="s">
        <v>95</v>
      </c>
    </row>
    <row r="47" spans="1:19" x14ac:dyDescent="0.2">
      <c r="A47" t="s">
        <v>12</v>
      </c>
      <c r="B47" t="s">
        <v>6</v>
      </c>
      <c r="C47" t="s">
        <v>30</v>
      </c>
      <c r="D47">
        <v>28</v>
      </c>
      <c r="E47">
        <v>5130</v>
      </c>
      <c r="F47">
        <v>183.21428571428572</v>
      </c>
      <c r="L47" t="s">
        <v>96</v>
      </c>
      <c r="Q47" t="s">
        <v>96</v>
      </c>
    </row>
    <row r="48" spans="1:19" x14ac:dyDescent="0.2">
      <c r="A48" t="s">
        <v>12</v>
      </c>
      <c r="B48" t="s">
        <v>7</v>
      </c>
      <c r="C48" t="s">
        <v>30</v>
      </c>
      <c r="D48">
        <v>35</v>
      </c>
      <c r="E48">
        <v>6276</v>
      </c>
      <c r="F48">
        <v>179.31428571428572</v>
      </c>
      <c r="L48" t="s">
        <v>97</v>
      </c>
      <c r="Q48" t="s">
        <v>97</v>
      </c>
    </row>
    <row r="49" spans="1:17" x14ac:dyDescent="0.2">
      <c r="A49" t="s">
        <v>12</v>
      </c>
      <c r="B49" t="s">
        <v>8</v>
      </c>
      <c r="C49" t="s">
        <v>30</v>
      </c>
      <c r="D49">
        <v>33</v>
      </c>
      <c r="E49">
        <v>5964</v>
      </c>
      <c r="F49">
        <v>180.72727272727272</v>
      </c>
      <c r="G49">
        <f>AVERAGE(F45:F49)</f>
        <v>180.53271994750259</v>
      </c>
      <c r="H49">
        <f>STDEV(F45:F49)/SQRT(5)</f>
        <v>0.81573253981836558</v>
      </c>
      <c r="L49" t="s">
        <v>98</v>
      </c>
      <c r="Q49" t="s">
        <v>98</v>
      </c>
    </row>
    <row r="50" spans="1:17" x14ac:dyDescent="0.2">
      <c r="A50" t="s">
        <v>12</v>
      </c>
      <c r="B50" t="s">
        <v>4</v>
      </c>
      <c r="C50" t="s">
        <v>29</v>
      </c>
      <c r="D50">
        <v>33</v>
      </c>
      <c r="E50">
        <v>6078</v>
      </c>
      <c r="F50">
        <v>184.18181818181819</v>
      </c>
    </row>
    <row r="51" spans="1:17" x14ac:dyDescent="0.2">
      <c r="A51" t="s">
        <v>12</v>
      </c>
      <c r="B51" t="s">
        <v>5</v>
      </c>
      <c r="C51" t="s">
        <v>29</v>
      </c>
      <c r="D51">
        <v>43</v>
      </c>
      <c r="E51">
        <v>7926</v>
      </c>
      <c r="F51">
        <v>184.32558139534885</v>
      </c>
    </row>
    <row r="52" spans="1:17" x14ac:dyDescent="0.2">
      <c r="A52" t="s">
        <v>12</v>
      </c>
      <c r="B52" t="s">
        <v>6</v>
      </c>
      <c r="C52" t="s">
        <v>29</v>
      </c>
      <c r="D52">
        <v>43</v>
      </c>
      <c r="E52">
        <v>7908</v>
      </c>
      <c r="F52">
        <v>183.90697674418604</v>
      </c>
    </row>
    <row r="53" spans="1:17" x14ac:dyDescent="0.2">
      <c r="A53" t="s">
        <v>12</v>
      </c>
      <c r="B53" t="s">
        <v>7</v>
      </c>
      <c r="C53" t="s">
        <v>29</v>
      </c>
      <c r="D53">
        <v>47</v>
      </c>
      <c r="E53">
        <v>8688</v>
      </c>
      <c r="F53">
        <v>184.85106382978722</v>
      </c>
    </row>
    <row r="54" spans="1:17" x14ac:dyDescent="0.2">
      <c r="A54" t="s">
        <v>12</v>
      </c>
      <c r="B54" t="s">
        <v>8</v>
      </c>
      <c r="C54" t="s">
        <v>29</v>
      </c>
      <c r="D54">
        <v>47</v>
      </c>
      <c r="E54">
        <v>8676</v>
      </c>
      <c r="F54">
        <v>184.59574468085106</v>
      </c>
      <c r="G54">
        <f>AVERAGE(F50:F54)</f>
        <v>184.37223696639825</v>
      </c>
      <c r="H54">
        <f>STDEV(F50:F54)/SQRT(5)</f>
        <v>0.16342184580506483</v>
      </c>
    </row>
    <row r="56" spans="1:17" x14ac:dyDescent="0.2">
      <c r="A56" t="s">
        <v>13</v>
      </c>
      <c r="B56" t="s">
        <v>4</v>
      </c>
      <c r="C56" t="s">
        <v>30</v>
      </c>
      <c r="D56">
        <v>76</v>
      </c>
      <c r="E56">
        <v>14166</v>
      </c>
      <c r="F56">
        <v>186.39473684210526</v>
      </c>
    </row>
    <row r="57" spans="1:17" x14ac:dyDescent="0.2">
      <c r="A57" t="s">
        <v>13</v>
      </c>
      <c r="B57" t="s">
        <v>5</v>
      </c>
      <c r="C57" t="s">
        <v>30</v>
      </c>
      <c r="D57">
        <v>83</v>
      </c>
      <c r="E57">
        <v>15558</v>
      </c>
      <c r="F57">
        <v>187.44578313253012</v>
      </c>
    </row>
    <row r="58" spans="1:17" x14ac:dyDescent="0.2">
      <c r="A58" t="s">
        <v>13</v>
      </c>
      <c r="B58" t="s">
        <v>6</v>
      </c>
      <c r="C58" t="s">
        <v>30</v>
      </c>
      <c r="D58">
        <v>68</v>
      </c>
      <c r="E58">
        <v>12576</v>
      </c>
      <c r="F58">
        <v>184.94117647058823</v>
      </c>
    </row>
    <row r="59" spans="1:17" x14ac:dyDescent="0.2">
      <c r="A59" t="s">
        <v>13</v>
      </c>
      <c r="B59" t="s">
        <v>7</v>
      </c>
      <c r="C59" t="s">
        <v>30</v>
      </c>
      <c r="D59">
        <v>123</v>
      </c>
      <c r="E59">
        <v>23316</v>
      </c>
      <c r="F59">
        <v>189.5609756097561</v>
      </c>
    </row>
    <row r="60" spans="1:17" x14ac:dyDescent="0.2">
      <c r="A60" t="s">
        <v>13</v>
      </c>
      <c r="B60" t="s">
        <v>8</v>
      </c>
      <c r="C60" t="s">
        <v>30</v>
      </c>
      <c r="D60">
        <v>87</v>
      </c>
      <c r="E60">
        <v>16362</v>
      </c>
      <c r="F60">
        <v>188.06896551724137</v>
      </c>
      <c r="G60">
        <f>AVERAGE(F56:F60)</f>
        <v>187.28232751444421</v>
      </c>
      <c r="H60">
        <f>STDEV(F56:F60)/SQRT(5)</f>
        <v>0.77802826557163363</v>
      </c>
    </row>
    <row r="61" spans="1:17" x14ac:dyDescent="0.2">
      <c r="A61" t="s">
        <v>13</v>
      </c>
      <c r="B61" t="s">
        <v>4</v>
      </c>
      <c r="C61" t="s">
        <v>29</v>
      </c>
      <c r="D61">
        <v>88</v>
      </c>
      <c r="E61">
        <v>16596</v>
      </c>
      <c r="F61">
        <v>188.59090909090909</v>
      </c>
    </row>
    <row r="62" spans="1:17" x14ac:dyDescent="0.2">
      <c r="A62" t="s">
        <v>13</v>
      </c>
      <c r="B62" t="s">
        <v>5</v>
      </c>
      <c r="C62" t="s">
        <v>29</v>
      </c>
      <c r="D62">
        <v>65</v>
      </c>
      <c r="E62">
        <v>12072</v>
      </c>
      <c r="F62">
        <v>185.72307692307692</v>
      </c>
    </row>
    <row r="63" spans="1:17" x14ac:dyDescent="0.2">
      <c r="A63" t="s">
        <v>13</v>
      </c>
      <c r="B63" t="s">
        <v>6</v>
      </c>
      <c r="C63" t="s">
        <v>29</v>
      </c>
      <c r="D63">
        <v>78</v>
      </c>
      <c r="E63">
        <v>14502</v>
      </c>
      <c r="F63">
        <v>185.92307692307693</v>
      </c>
    </row>
    <row r="64" spans="1:17" x14ac:dyDescent="0.2">
      <c r="A64" t="s">
        <v>13</v>
      </c>
      <c r="B64" t="s">
        <v>7</v>
      </c>
      <c r="C64" t="s">
        <v>29</v>
      </c>
      <c r="D64">
        <v>98</v>
      </c>
      <c r="E64">
        <v>18906</v>
      </c>
      <c r="F64">
        <v>192.91836734693877</v>
      </c>
    </row>
    <row r="65" spans="1:8" x14ac:dyDescent="0.2">
      <c r="A65" t="s">
        <v>13</v>
      </c>
      <c r="B65" t="s">
        <v>8</v>
      </c>
      <c r="C65" t="s">
        <v>29</v>
      </c>
      <c r="D65">
        <v>115</v>
      </c>
      <c r="E65">
        <v>21876</v>
      </c>
      <c r="F65">
        <v>190.22608695652173</v>
      </c>
      <c r="G65">
        <f>AVERAGE(F61:F65)</f>
        <v>188.67630344810468</v>
      </c>
      <c r="H65">
        <f>STDEV(F61:F65)/SQRT(5)</f>
        <v>1.3547330077775039</v>
      </c>
    </row>
    <row r="67" spans="1:8" x14ac:dyDescent="0.2">
      <c r="A67" t="s">
        <v>14</v>
      </c>
      <c r="B67" t="s">
        <v>4</v>
      </c>
      <c r="C67" t="s">
        <v>30</v>
      </c>
      <c r="D67">
        <v>115</v>
      </c>
      <c r="E67">
        <v>22044</v>
      </c>
      <c r="F67">
        <v>191.68695652173912</v>
      </c>
    </row>
    <row r="68" spans="1:8" x14ac:dyDescent="0.2">
      <c r="A68" t="s">
        <v>14</v>
      </c>
      <c r="B68" t="s">
        <v>5</v>
      </c>
      <c r="C68" t="s">
        <v>30</v>
      </c>
      <c r="D68">
        <v>119</v>
      </c>
      <c r="E68">
        <v>22812</v>
      </c>
      <c r="F68">
        <v>191.69747899159663</v>
      </c>
    </row>
    <row r="69" spans="1:8" x14ac:dyDescent="0.2">
      <c r="A69" t="s">
        <v>14</v>
      </c>
      <c r="B69" t="s">
        <v>6</v>
      </c>
      <c r="C69" t="s">
        <v>30</v>
      </c>
      <c r="D69">
        <v>131</v>
      </c>
      <c r="E69">
        <v>25434</v>
      </c>
      <c r="F69">
        <v>194.15267175572518</v>
      </c>
    </row>
    <row r="70" spans="1:8" x14ac:dyDescent="0.2">
      <c r="A70" t="s">
        <v>14</v>
      </c>
      <c r="B70" t="s">
        <v>7</v>
      </c>
      <c r="C70" t="s">
        <v>30</v>
      </c>
      <c r="D70">
        <v>124</v>
      </c>
      <c r="E70">
        <v>23922</v>
      </c>
      <c r="F70">
        <v>192.91935483870967</v>
      </c>
    </row>
    <row r="71" spans="1:8" x14ac:dyDescent="0.2">
      <c r="A71" t="s">
        <v>14</v>
      </c>
      <c r="B71" t="s">
        <v>8</v>
      </c>
      <c r="C71" t="s">
        <v>30</v>
      </c>
      <c r="D71">
        <v>90</v>
      </c>
      <c r="E71">
        <v>16782</v>
      </c>
      <c r="F71">
        <v>186.46666666666667</v>
      </c>
      <c r="G71">
        <f>AVERAGE(F67:F71)</f>
        <v>191.38462575488745</v>
      </c>
      <c r="H71">
        <f>STDEV(F67:F71)/SQRT(5)</f>
        <v>1.3113556851060935</v>
      </c>
    </row>
    <row r="72" spans="1:8" x14ac:dyDescent="0.2">
      <c r="A72" t="s">
        <v>14</v>
      </c>
      <c r="B72" t="s">
        <v>4</v>
      </c>
      <c r="C72" t="s">
        <v>29</v>
      </c>
      <c r="D72">
        <v>129</v>
      </c>
      <c r="E72">
        <v>25008</v>
      </c>
      <c r="F72">
        <v>193.86046511627907</v>
      </c>
    </row>
    <row r="73" spans="1:8" x14ac:dyDescent="0.2">
      <c r="A73" t="s">
        <v>14</v>
      </c>
      <c r="B73" t="s">
        <v>5</v>
      </c>
      <c r="C73" t="s">
        <v>29</v>
      </c>
      <c r="D73">
        <v>120</v>
      </c>
      <c r="E73">
        <v>23202</v>
      </c>
      <c r="F73">
        <v>193.35</v>
      </c>
    </row>
    <row r="74" spans="1:8" x14ac:dyDescent="0.2">
      <c r="A74" t="s">
        <v>14</v>
      </c>
      <c r="B74" t="s">
        <v>6</v>
      </c>
      <c r="C74" t="s">
        <v>29</v>
      </c>
      <c r="D74">
        <v>120</v>
      </c>
      <c r="E74">
        <v>23646</v>
      </c>
      <c r="F74">
        <v>197.05</v>
      </c>
    </row>
    <row r="75" spans="1:8" x14ac:dyDescent="0.2">
      <c r="A75" t="s">
        <v>14</v>
      </c>
      <c r="B75" t="s">
        <v>7</v>
      </c>
      <c r="C75" t="s">
        <v>29</v>
      </c>
      <c r="D75">
        <v>134</v>
      </c>
      <c r="E75">
        <v>25878</v>
      </c>
      <c r="F75">
        <v>193.11940298507463</v>
      </c>
    </row>
    <row r="76" spans="1:8" x14ac:dyDescent="0.2">
      <c r="A76" t="s">
        <v>14</v>
      </c>
      <c r="B76" t="s">
        <v>8</v>
      </c>
      <c r="C76" t="s">
        <v>29</v>
      </c>
      <c r="D76">
        <v>103</v>
      </c>
      <c r="E76">
        <v>19470</v>
      </c>
      <c r="F76">
        <v>189.02912621359224</v>
      </c>
      <c r="G76">
        <f>AVERAGE(F72:F76)</f>
        <v>193.28179886298921</v>
      </c>
      <c r="H76">
        <f>STDEV(F72:F76)/SQRT(5)</f>
        <v>1.277701900304768</v>
      </c>
    </row>
    <row r="78" spans="1:8" x14ac:dyDescent="0.2">
      <c r="A78" t="s">
        <v>15</v>
      </c>
      <c r="B78" t="s">
        <v>4</v>
      </c>
      <c r="C78" t="s">
        <v>30</v>
      </c>
      <c r="D78">
        <v>64</v>
      </c>
      <c r="E78">
        <v>11574</v>
      </c>
      <c r="F78">
        <v>180.84375</v>
      </c>
    </row>
    <row r="79" spans="1:8" x14ac:dyDescent="0.2">
      <c r="A79" t="s">
        <v>15</v>
      </c>
      <c r="B79" t="s">
        <v>5</v>
      </c>
      <c r="C79" t="s">
        <v>30</v>
      </c>
      <c r="D79">
        <v>71</v>
      </c>
      <c r="E79">
        <v>12882</v>
      </c>
      <c r="F79">
        <v>181.43661971830986</v>
      </c>
    </row>
    <row r="80" spans="1:8" x14ac:dyDescent="0.2">
      <c r="A80" t="s">
        <v>15</v>
      </c>
      <c r="B80" t="s">
        <v>6</v>
      </c>
      <c r="C80" t="s">
        <v>30</v>
      </c>
      <c r="D80">
        <v>75</v>
      </c>
      <c r="E80">
        <v>13674</v>
      </c>
      <c r="F80">
        <v>182.32</v>
      </c>
    </row>
    <row r="81" spans="1:19" x14ac:dyDescent="0.2">
      <c r="A81" t="s">
        <v>15</v>
      </c>
      <c r="B81" t="s">
        <v>7</v>
      </c>
      <c r="C81" t="s">
        <v>30</v>
      </c>
      <c r="D81">
        <v>68</v>
      </c>
      <c r="E81">
        <v>12264</v>
      </c>
      <c r="F81">
        <v>180.35294117647058</v>
      </c>
    </row>
    <row r="82" spans="1:19" x14ac:dyDescent="0.2">
      <c r="A82" t="s">
        <v>15</v>
      </c>
      <c r="B82" t="s">
        <v>8</v>
      </c>
      <c r="C82" t="s">
        <v>30</v>
      </c>
      <c r="D82">
        <v>73</v>
      </c>
      <c r="E82">
        <v>13278</v>
      </c>
      <c r="F82">
        <v>181.89041095890411</v>
      </c>
      <c r="G82">
        <f>AVERAGE(F78:F82)</f>
        <v>181.36874437073692</v>
      </c>
      <c r="H82">
        <f>STDEV(F78:F82)/SQRT(5)</f>
        <v>0.35278219789340176</v>
      </c>
    </row>
    <row r="83" spans="1:19" x14ac:dyDescent="0.2">
      <c r="A83" t="s">
        <v>15</v>
      </c>
      <c r="B83" t="s">
        <v>4</v>
      </c>
      <c r="C83" t="s">
        <v>29</v>
      </c>
      <c r="D83">
        <v>85</v>
      </c>
      <c r="E83">
        <v>15618</v>
      </c>
      <c r="F83">
        <v>183.74117647058824</v>
      </c>
    </row>
    <row r="84" spans="1:19" x14ac:dyDescent="0.2">
      <c r="A84" t="s">
        <v>15</v>
      </c>
      <c r="B84" t="s">
        <v>5</v>
      </c>
      <c r="C84" t="s">
        <v>29</v>
      </c>
      <c r="D84">
        <v>81</v>
      </c>
      <c r="E84">
        <v>14934</v>
      </c>
      <c r="F84">
        <v>184.37037037037038</v>
      </c>
    </row>
    <row r="85" spans="1:19" x14ac:dyDescent="0.2">
      <c r="A85" t="s">
        <v>15</v>
      </c>
      <c r="B85" t="s">
        <v>6</v>
      </c>
      <c r="C85" t="s">
        <v>29</v>
      </c>
      <c r="D85">
        <v>90</v>
      </c>
      <c r="E85">
        <v>16656</v>
      </c>
      <c r="F85">
        <v>185.06666666666666</v>
      </c>
    </row>
    <row r="86" spans="1:19" x14ac:dyDescent="0.2">
      <c r="A86" t="s">
        <v>15</v>
      </c>
      <c r="B86" t="s">
        <v>7</v>
      </c>
      <c r="C86" t="s">
        <v>29</v>
      </c>
      <c r="D86">
        <v>79</v>
      </c>
      <c r="E86">
        <v>14478</v>
      </c>
      <c r="F86">
        <v>183.26582278481013</v>
      </c>
    </row>
    <row r="87" spans="1:19" x14ac:dyDescent="0.2">
      <c r="A87" t="s">
        <v>15</v>
      </c>
      <c r="B87" t="s">
        <v>8</v>
      </c>
      <c r="C87" t="s">
        <v>29</v>
      </c>
      <c r="D87">
        <v>87</v>
      </c>
      <c r="E87">
        <v>16110</v>
      </c>
      <c r="F87">
        <v>185.17241379310346</v>
      </c>
      <c r="G87">
        <f>AVERAGE(F83:F87)</f>
        <v>184.32329001710778</v>
      </c>
      <c r="H87">
        <f>STDEV(F83:F87)/SQRT(5)</f>
        <v>0.36965725463993626</v>
      </c>
    </row>
    <row r="89" spans="1:19" x14ac:dyDescent="0.2">
      <c r="A89" t="s">
        <v>16</v>
      </c>
      <c r="B89" t="s">
        <v>4</v>
      </c>
      <c r="C89" t="s">
        <v>30</v>
      </c>
      <c r="D89">
        <v>102</v>
      </c>
      <c r="E89">
        <v>18744</v>
      </c>
      <c r="F89">
        <v>183.76470588235293</v>
      </c>
    </row>
    <row r="90" spans="1:19" x14ac:dyDescent="0.2">
      <c r="A90" t="s">
        <v>16</v>
      </c>
      <c r="B90" t="s">
        <v>5</v>
      </c>
      <c r="C90" t="s">
        <v>30</v>
      </c>
      <c r="D90">
        <v>98</v>
      </c>
      <c r="E90">
        <v>18186</v>
      </c>
      <c r="F90">
        <v>185.57142857142858</v>
      </c>
    </row>
    <row r="91" spans="1:19" x14ac:dyDescent="0.2">
      <c r="A91" t="s">
        <v>16</v>
      </c>
      <c r="B91" t="s">
        <v>6</v>
      </c>
      <c r="C91" t="s">
        <v>30</v>
      </c>
      <c r="D91">
        <v>124</v>
      </c>
      <c r="E91">
        <v>22902</v>
      </c>
      <c r="F91">
        <v>184.69354838709677</v>
      </c>
    </row>
    <row r="92" spans="1:19" x14ac:dyDescent="0.2">
      <c r="A92" t="s">
        <v>16</v>
      </c>
      <c r="B92" t="s">
        <v>7</v>
      </c>
      <c r="C92" t="s">
        <v>30</v>
      </c>
      <c r="D92">
        <v>103</v>
      </c>
      <c r="E92">
        <v>18942</v>
      </c>
      <c r="F92">
        <v>183.90291262135923</v>
      </c>
    </row>
    <row r="93" spans="1:19" x14ac:dyDescent="0.2">
      <c r="A93" t="s">
        <v>16</v>
      </c>
      <c r="B93" t="s">
        <v>8</v>
      </c>
      <c r="C93" t="s">
        <v>30</v>
      </c>
      <c r="D93">
        <v>115</v>
      </c>
      <c r="E93">
        <v>21384</v>
      </c>
      <c r="F93">
        <v>185.94782608695652</v>
      </c>
      <c r="G93">
        <f>AVERAGE(F89:F93)</f>
        <v>184.77608430983881</v>
      </c>
      <c r="H93">
        <f>STDEV(F89:F93)/SQRT(5)</f>
        <v>0.43575673181120966</v>
      </c>
    </row>
    <row r="94" spans="1:19" x14ac:dyDescent="0.2">
      <c r="A94" t="s">
        <v>16</v>
      </c>
      <c r="B94" t="s">
        <v>4</v>
      </c>
      <c r="C94" t="s">
        <v>29</v>
      </c>
      <c r="D94">
        <v>105</v>
      </c>
      <c r="E94">
        <v>19350</v>
      </c>
      <c r="F94">
        <v>184.28571428571428</v>
      </c>
    </row>
    <row r="95" spans="1:19" x14ac:dyDescent="0.2">
      <c r="A95" t="s">
        <v>16</v>
      </c>
      <c r="B95" t="s">
        <v>5</v>
      </c>
      <c r="C95" t="s">
        <v>29</v>
      </c>
      <c r="D95">
        <v>121</v>
      </c>
      <c r="E95">
        <v>22494</v>
      </c>
      <c r="F95">
        <v>185.900826446281</v>
      </c>
    </row>
    <row r="96" spans="1:19" x14ac:dyDescent="0.2">
      <c r="A96" t="s">
        <v>16</v>
      </c>
      <c r="B96" t="s">
        <v>6</v>
      </c>
      <c r="C96" t="s">
        <v>29</v>
      </c>
      <c r="D96">
        <v>122</v>
      </c>
      <c r="E96">
        <v>22764</v>
      </c>
      <c r="F96">
        <v>186.59016393442624</v>
      </c>
      <c r="K96" t="s">
        <v>88</v>
      </c>
      <c r="M96" t="s">
        <v>100</v>
      </c>
      <c r="N96" t="s">
        <v>101</v>
      </c>
      <c r="P96" t="s">
        <v>99</v>
      </c>
      <c r="R96" t="s">
        <v>100</v>
      </c>
      <c r="S96" t="s">
        <v>101</v>
      </c>
    </row>
    <row r="97" spans="1:21" x14ac:dyDescent="0.2">
      <c r="A97" t="s">
        <v>16</v>
      </c>
      <c r="B97" t="s">
        <v>7</v>
      </c>
      <c r="C97" t="s">
        <v>29</v>
      </c>
      <c r="D97">
        <v>118</v>
      </c>
      <c r="E97">
        <v>21864</v>
      </c>
      <c r="F97">
        <v>185.28813559322035</v>
      </c>
      <c r="K97" t="s">
        <v>87</v>
      </c>
      <c r="L97" s="13" t="s">
        <v>102</v>
      </c>
      <c r="M97">
        <v>187.28232751444421</v>
      </c>
      <c r="N97">
        <v>0.77802826557163363</v>
      </c>
      <c r="P97" t="s">
        <v>87</v>
      </c>
      <c r="Q97" s="13" t="s">
        <v>106</v>
      </c>
      <c r="R97">
        <v>188.67630344810468</v>
      </c>
      <c r="S97">
        <v>1.3547330077775039</v>
      </c>
      <c r="U97" t="s">
        <v>17</v>
      </c>
    </row>
    <row r="98" spans="1:21" x14ac:dyDescent="0.2">
      <c r="A98" t="s">
        <v>16</v>
      </c>
      <c r="B98" t="s">
        <v>8</v>
      </c>
      <c r="C98" t="s">
        <v>29</v>
      </c>
      <c r="D98">
        <v>118</v>
      </c>
      <c r="E98">
        <v>21996</v>
      </c>
      <c r="F98">
        <v>186.40677966101694</v>
      </c>
      <c r="G98">
        <f>AVERAGE(F94:F98)</f>
        <v>185.69432398413173</v>
      </c>
      <c r="H98">
        <f>STDEV(F94:F98)/SQRT(5)</f>
        <v>0.41844568741535842</v>
      </c>
      <c r="L98" s="13" t="s">
        <v>103</v>
      </c>
      <c r="M98">
        <v>191.38462575488745</v>
      </c>
      <c r="N98">
        <v>1.3113556851060935</v>
      </c>
      <c r="Q98" s="13" t="s">
        <v>103</v>
      </c>
      <c r="R98">
        <v>193.28179886298921</v>
      </c>
      <c r="S98">
        <v>1.277701900304768</v>
      </c>
    </row>
    <row r="99" spans="1:21" x14ac:dyDescent="0.2">
      <c r="L99" s="13" t="s">
        <v>104</v>
      </c>
      <c r="M99">
        <v>181.36874437073692</v>
      </c>
      <c r="N99">
        <v>0.35278219789340176</v>
      </c>
      <c r="Q99" t="s">
        <v>15</v>
      </c>
      <c r="R99">
        <v>184.32329001710778</v>
      </c>
      <c r="S99">
        <v>0.36965725463993626</v>
      </c>
    </row>
    <row r="100" spans="1:21" x14ac:dyDescent="0.2">
      <c r="A100" t="s">
        <v>17</v>
      </c>
      <c r="B100" t="s">
        <v>4</v>
      </c>
      <c r="C100" t="s">
        <v>30</v>
      </c>
      <c r="D100">
        <v>86</v>
      </c>
      <c r="E100">
        <v>15660</v>
      </c>
      <c r="F100">
        <v>182.09302325581396</v>
      </c>
      <c r="L100" s="13" t="s">
        <v>105</v>
      </c>
      <c r="M100">
        <v>184.77608430983881</v>
      </c>
      <c r="N100">
        <v>0.43575673181120966</v>
      </c>
      <c r="Q100" t="s">
        <v>16</v>
      </c>
      <c r="R100">
        <v>185.69432398413173</v>
      </c>
      <c r="S100">
        <v>0.41844568741535842</v>
      </c>
    </row>
    <row r="101" spans="1:21" x14ac:dyDescent="0.2">
      <c r="A101" t="s">
        <v>17</v>
      </c>
      <c r="B101" t="s">
        <v>5</v>
      </c>
      <c r="C101" t="s">
        <v>30</v>
      </c>
      <c r="D101">
        <v>84</v>
      </c>
      <c r="E101">
        <v>15156</v>
      </c>
      <c r="F101">
        <v>180.42857142857142</v>
      </c>
      <c r="L101" s="13" t="s">
        <v>17</v>
      </c>
      <c r="M101">
        <v>181.05833051807937</v>
      </c>
      <c r="N101">
        <v>0.4191187298087648</v>
      </c>
      <c r="Q101" t="s">
        <v>17</v>
      </c>
      <c r="R101">
        <v>183.0671327223501</v>
      </c>
      <c r="S101">
        <v>0.2813762938780679</v>
      </c>
    </row>
    <row r="102" spans="1:21" x14ac:dyDescent="0.2">
      <c r="A102" t="s">
        <v>17</v>
      </c>
      <c r="B102" t="s">
        <v>6</v>
      </c>
      <c r="C102" t="s">
        <v>30</v>
      </c>
      <c r="D102">
        <v>77</v>
      </c>
      <c r="E102">
        <v>13848</v>
      </c>
      <c r="F102">
        <v>179.84415584415584</v>
      </c>
      <c r="L102" t="s">
        <v>3</v>
      </c>
      <c r="M102">
        <v>185.7178339445893</v>
      </c>
      <c r="N102">
        <v>1.5169475124057543</v>
      </c>
      <c r="Q102" t="s">
        <v>3</v>
      </c>
      <c r="R102">
        <v>191.46041413647046</v>
      </c>
      <c r="S102">
        <v>0.79443179422743126</v>
      </c>
    </row>
    <row r="103" spans="1:21" x14ac:dyDescent="0.2">
      <c r="A103" t="s">
        <v>17</v>
      </c>
      <c r="B103" t="s">
        <v>7</v>
      </c>
      <c r="C103" t="s">
        <v>30</v>
      </c>
      <c r="D103">
        <v>97</v>
      </c>
      <c r="E103">
        <v>17568</v>
      </c>
      <c r="F103">
        <v>181.11340206185568</v>
      </c>
      <c r="L103" t="s">
        <v>9</v>
      </c>
      <c r="M103">
        <v>181.34701010101008</v>
      </c>
      <c r="N103">
        <v>0.35929483419583075</v>
      </c>
      <c r="Q103" t="s">
        <v>9</v>
      </c>
      <c r="R103">
        <v>185.54561192862087</v>
      </c>
      <c r="S103">
        <v>0.44019219940427223</v>
      </c>
    </row>
    <row r="104" spans="1:21" x14ac:dyDescent="0.2">
      <c r="A104" t="s">
        <v>17</v>
      </c>
      <c r="B104" t="s">
        <v>8</v>
      </c>
      <c r="C104" t="s">
        <v>30</v>
      </c>
      <c r="D104">
        <v>96</v>
      </c>
      <c r="E104">
        <v>17454</v>
      </c>
      <c r="F104">
        <v>181.8125</v>
      </c>
      <c r="G104">
        <f>AVERAGE(F100:F104)</f>
        <v>181.05833051807937</v>
      </c>
      <c r="H104">
        <f>STDEV(F100:F104)/SQRT(5)</f>
        <v>0.4191187298087648</v>
      </c>
      <c r="L104" t="s">
        <v>10</v>
      </c>
      <c r="M104">
        <v>193.000507196444</v>
      </c>
      <c r="N104">
        <v>1.241436808644049</v>
      </c>
      <c r="Q104" t="s">
        <v>10</v>
      </c>
      <c r="R104">
        <v>195.4456875756857</v>
      </c>
      <c r="S104">
        <v>1.1811954454668421</v>
      </c>
    </row>
    <row r="105" spans="1:21" x14ac:dyDescent="0.2">
      <c r="A105" t="s">
        <v>17</v>
      </c>
      <c r="B105" t="s">
        <v>4</v>
      </c>
      <c r="C105" t="s">
        <v>29</v>
      </c>
      <c r="D105">
        <v>91</v>
      </c>
      <c r="E105">
        <v>16728</v>
      </c>
      <c r="F105">
        <v>183.82417582417582</v>
      </c>
      <c r="L105" t="s">
        <v>11</v>
      </c>
      <c r="M105">
        <v>183.09330383341393</v>
      </c>
      <c r="N105">
        <v>1.8912712203795448</v>
      </c>
      <c r="Q105" t="s">
        <v>11</v>
      </c>
      <c r="R105">
        <v>188.11803550599174</v>
      </c>
      <c r="S105">
        <v>1.7770441384967872</v>
      </c>
    </row>
    <row r="106" spans="1:21" x14ac:dyDescent="0.2">
      <c r="A106" t="s">
        <v>17</v>
      </c>
      <c r="B106" t="s">
        <v>5</v>
      </c>
      <c r="C106" t="s">
        <v>29</v>
      </c>
      <c r="D106">
        <v>90</v>
      </c>
      <c r="E106">
        <v>16392</v>
      </c>
      <c r="F106">
        <v>182.13333333333333</v>
      </c>
      <c r="L106" t="s">
        <v>12</v>
      </c>
      <c r="M106">
        <v>180.53271994750259</v>
      </c>
      <c r="N106">
        <v>0.81573253981836558</v>
      </c>
      <c r="Q106" t="s">
        <v>12</v>
      </c>
      <c r="R106">
        <v>184.37223696639825</v>
      </c>
      <c r="S106">
        <v>0.16342184580506483</v>
      </c>
      <c r="T106">
        <f>AVERAGE(R97:R106)</f>
        <v>187.99848351478505</v>
      </c>
      <c r="U106">
        <f>STDEV(R97:R106)/SQRT(10)</f>
        <v>1.3255339705494458</v>
      </c>
    </row>
    <row r="107" spans="1:21" x14ac:dyDescent="0.2">
      <c r="A107" t="s">
        <v>17</v>
      </c>
      <c r="B107" t="s">
        <v>6</v>
      </c>
      <c r="C107" t="s">
        <v>29</v>
      </c>
      <c r="D107">
        <v>92</v>
      </c>
      <c r="E107">
        <v>16842</v>
      </c>
      <c r="F107">
        <v>183.06521739130434</v>
      </c>
      <c r="K107" t="s">
        <v>86</v>
      </c>
      <c r="L107" t="s">
        <v>94</v>
      </c>
      <c r="M107">
        <v>201.09358328617657</v>
      </c>
      <c r="N107">
        <v>1.7916866886249994</v>
      </c>
      <c r="P107" t="s">
        <v>86</v>
      </c>
      <c r="Q107" t="s">
        <v>94</v>
      </c>
      <c r="R107">
        <v>205.47939036039946</v>
      </c>
      <c r="S107">
        <v>1.3888454371369716</v>
      </c>
      <c r="T107">
        <f>T106+U106</f>
        <v>189.32401748533451</v>
      </c>
    </row>
    <row r="108" spans="1:21" x14ac:dyDescent="0.2">
      <c r="A108" t="s">
        <v>17</v>
      </c>
      <c r="B108" t="s">
        <v>7</v>
      </c>
      <c r="C108" t="s">
        <v>29</v>
      </c>
      <c r="D108">
        <v>99</v>
      </c>
      <c r="E108">
        <v>18108</v>
      </c>
      <c r="F108">
        <v>182.90909090909091</v>
      </c>
      <c r="L108" t="s">
        <v>95</v>
      </c>
      <c r="M108">
        <v>199.73748476784792</v>
      </c>
      <c r="N108">
        <v>1.2603039183315592</v>
      </c>
      <c r="Q108" t="s">
        <v>95</v>
      </c>
      <c r="R108">
        <v>204.82707526435826</v>
      </c>
      <c r="S108">
        <v>1.2058292607837737</v>
      </c>
    </row>
    <row r="109" spans="1:21" x14ac:dyDescent="0.2">
      <c r="A109" t="s">
        <v>17</v>
      </c>
      <c r="B109" t="s">
        <v>8</v>
      </c>
      <c r="C109" t="s">
        <v>29</v>
      </c>
      <c r="D109">
        <v>104</v>
      </c>
      <c r="E109">
        <v>19074</v>
      </c>
      <c r="F109">
        <v>183.40384615384616</v>
      </c>
      <c r="G109">
        <f>AVERAGE(F105:F109)</f>
        <v>183.0671327223501</v>
      </c>
      <c r="H109">
        <f>STDEV(F105:F109)/SQRT(5)</f>
        <v>0.2813762938780679</v>
      </c>
      <c r="L109" t="s">
        <v>96</v>
      </c>
      <c r="M109">
        <v>206.43678712591753</v>
      </c>
      <c r="N109">
        <v>1.4458274369355841</v>
      </c>
      <c r="Q109" t="s">
        <v>96</v>
      </c>
      <c r="R109">
        <v>211.07376042590948</v>
      </c>
      <c r="S109">
        <v>1.5819860925616775</v>
      </c>
    </row>
    <row r="110" spans="1:21" x14ac:dyDescent="0.2">
      <c r="L110" t="s">
        <v>97</v>
      </c>
      <c r="M110">
        <v>203.03980771155707</v>
      </c>
      <c r="N110">
        <v>0.78699098296353232</v>
      </c>
      <c r="Q110" t="s">
        <v>97</v>
      </c>
      <c r="R110">
        <v>209.0318316650127</v>
      </c>
      <c r="S110">
        <v>1.7341310606775966</v>
      </c>
    </row>
    <row r="111" spans="1:21" x14ac:dyDescent="0.2">
      <c r="A111" t="s">
        <v>18</v>
      </c>
      <c r="B111" t="s">
        <v>4</v>
      </c>
      <c r="C111" t="s">
        <v>30</v>
      </c>
      <c r="D111">
        <v>131</v>
      </c>
      <c r="E111">
        <v>25140</v>
      </c>
      <c r="F111">
        <v>191.90839694656489</v>
      </c>
      <c r="L111" t="s">
        <v>98</v>
      </c>
      <c r="M111">
        <v>190.99087806061178</v>
      </c>
      <c r="N111">
        <v>0.87224179270713897</v>
      </c>
      <c r="Q111" t="s">
        <v>98</v>
      </c>
      <c r="R111">
        <v>195.9100986060339</v>
      </c>
      <c r="S111">
        <v>0.88415994448865676</v>
      </c>
    </row>
    <row r="112" spans="1:21" x14ac:dyDescent="0.2">
      <c r="A112" t="s">
        <v>18</v>
      </c>
      <c r="B112" t="s">
        <v>5</v>
      </c>
      <c r="C112" t="s">
        <v>30</v>
      </c>
      <c r="D112">
        <v>116</v>
      </c>
      <c r="E112">
        <v>21828</v>
      </c>
      <c r="F112">
        <v>188.17241379310346</v>
      </c>
      <c r="L112" t="s">
        <v>89</v>
      </c>
      <c r="M112">
        <v>188.75590830314604</v>
      </c>
      <c r="N112">
        <v>0.90778803675048747</v>
      </c>
      <c r="Q112" t="s">
        <v>89</v>
      </c>
      <c r="R112">
        <v>189.71199313088229</v>
      </c>
      <c r="S112">
        <v>1.330009020128164</v>
      </c>
    </row>
    <row r="113" spans="1:25" x14ac:dyDescent="0.2">
      <c r="A113" t="s">
        <v>18</v>
      </c>
      <c r="B113" t="s">
        <v>6</v>
      </c>
      <c r="C113" t="s">
        <v>30</v>
      </c>
      <c r="D113">
        <v>127</v>
      </c>
      <c r="E113">
        <v>23700</v>
      </c>
      <c r="F113">
        <v>186.61417322834646</v>
      </c>
      <c r="L113" t="s">
        <v>90</v>
      </c>
      <c r="M113">
        <v>192.14959983307307</v>
      </c>
      <c r="N113">
        <v>1.1615186547403529</v>
      </c>
      <c r="Q113" t="s">
        <v>90</v>
      </c>
      <c r="R113">
        <v>193.76432709447414</v>
      </c>
      <c r="S113">
        <v>0.50423045112548959</v>
      </c>
    </row>
    <row r="114" spans="1:25" x14ac:dyDescent="0.2">
      <c r="A114" t="s">
        <v>18</v>
      </c>
      <c r="B114" t="s">
        <v>7</v>
      </c>
      <c r="C114" t="s">
        <v>30</v>
      </c>
      <c r="D114">
        <v>133</v>
      </c>
      <c r="E114">
        <v>24960</v>
      </c>
      <c r="F114">
        <v>187.66917293233084</v>
      </c>
      <c r="L114" t="s">
        <v>91</v>
      </c>
      <c r="M114">
        <v>219.4473303167421</v>
      </c>
      <c r="N114">
        <v>4.3093918602508694</v>
      </c>
      <c r="Q114" t="s">
        <v>91</v>
      </c>
      <c r="R114">
        <v>217.50272226455067</v>
      </c>
      <c r="S114">
        <v>5.4624542307160606</v>
      </c>
    </row>
    <row r="115" spans="1:25" x14ac:dyDescent="0.2">
      <c r="A115" t="s">
        <v>18</v>
      </c>
      <c r="B115" t="s">
        <v>8</v>
      </c>
      <c r="C115" t="s">
        <v>30</v>
      </c>
      <c r="D115">
        <v>130</v>
      </c>
      <c r="E115">
        <v>24624</v>
      </c>
      <c r="F115">
        <v>189.41538461538462</v>
      </c>
      <c r="G115">
        <f>AVERAGE(F111:F115)</f>
        <v>188.75590830314604</v>
      </c>
      <c r="H115">
        <f>STDEV(F111:F115)/SQRT(5)</f>
        <v>0.90778803675048747</v>
      </c>
      <c r="L115" t="s">
        <v>92</v>
      </c>
      <c r="M115">
        <v>191.49632247882039</v>
      </c>
      <c r="N115">
        <v>0.41499370180154405</v>
      </c>
      <c r="Q115" t="s">
        <v>92</v>
      </c>
      <c r="R115">
        <v>195.58746022093845</v>
      </c>
      <c r="S115">
        <v>0.53305992918060807</v>
      </c>
    </row>
    <row r="116" spans="1:25" x14ac:dyDescent="0.2">
      <c r="A116" t="s">
        <v>18</v>
      </c>
      <c r="B116" t="s">
        <v>4</v>
      </c>
      <c r="C116" t="s">
        <v>29</v>
      </c>
      <c r="D116">
        <v>127</v>
      </c>
      <c r="E116">
        <v>24396</v>
      </c>
      <c r="F116">
        <v>192.09448818897638</v>
      </c>
      <c r="L116" t="s">
        <v>93</v>
      </c>
      <c r="M116">
        <v>191.65911196911196</v>
      </c>
      <c r="N116">
        <v>0.71923955910277393</v>
      </c>
      <c r="Q116" t="s">
        <v>93</v>
      </c>
      <c r="R116">
        <v>195.42376306620207</v>
      </c>
      <c r="S116">
        <v>0.45425312590818284</v>
      </c>
      <c r="T116">
        <f>AVERAGE(R107:R116)</f>
        <v>201.83124220987617</v>
      </c>
      <c r="U116">
        <f>STDEV(R107:R116)/SQRT(10)</f>
        <v>2.8522968931387465</v>
      </c>
    </row>
    <row r="117" spans="1:25" x14ac:dyDescent="0.2">
      <c r="A117" t="s">
        <v>18</v>
      </c>
      <c r="B117" t="s">
        <v>5</v>
      </c>
      <c r="C117" t="s">
        <v>29</v>
      </c>
      <c r="D117">
        <v>112</v>
      </c>
      <c r="E117">
        <v>21168</v>
      </c>
      <c r="F117">
        <v>189</v>
      </c>
    </row>
    <row r="118" spans="1:25" x14ac:dyDescent="0.2">
      <c r="A118" t="s">
        <v>18</v>
      </c>
      <c r="B118" t="s">
        <v>6</v>
      </c>
      <c r="C118" t="s">
        <v>29</v>
      </c>
      <c r="D118">
        <v>113</v>
      </c>
      <c r="E118">
        <v>21108</v>
      </c>
      <c r="F118">
        <v>186.79646017699116</v>
      </c>
      <c r="T118">
        <f>T116-U116</f>
        <v>198.97894531673742</v>
      </c>
    </row>
    <row r="119" spans="1:25" x14ac:dyDescent="0.2">
      <c r="A119" t="s">
        <v>18</v>
      </c>
      <c r="B119" t="s">
        <v>7</v>
      </c>
      <c r="C119" t="s">
        <v>29</v>
      </c>
      <c r="D119">
        <v>112</v>
      </c>
      <c r="E119">
        <v>20964</v>
      </c>
      <c r="F119">
        <v>187.17857142857142</v>
      </c>
    </row>
    <row r="120" spans="1:25" x14ac:dyDescent="0.2">
      <c r="A120" t="s">
        <v>18</v>
      </c>
      <c r="B120" t="s">
        <v>8</v>
      </c>
      <c r="C120" t="s">
        <v>29</v>
      </c>
      <c r="D120">
        <v>157</v>
      </c>
      <c r="E120">
        <v>30378</v>
      </c>
      <c r="F120">
        <v>193.49044585987261</v>
      </c>
      <c r="G120">
        <f>AVERAGE(F116:F120)</f>
        <v>189.71199313088229</v>
      </c>
      <c r="H120">
        <f>STDEV(F116:F120)/SQRT(5)</f>
        <v>1.330009020128164</v>
      </c>
    </row>
    <row r="121" spans="1:25" x14ac:dyDescent="0.2">
      <c r="W121" t="s">
        <v>87</v>
      </c>
      <c r="X121">
        <v>187.99848351478505</v>
      </c>
      <c r="Y121">
        <v>1.3255339705494458</v>
      </c>
    </row>
    <row r="122" spans="1:25" x14ac:dyDescent="0.2">
      <c r="A122" t="s">
        <v>19</v>
      </c>
      <c r="B122" t="s">
        <v>4</v>
      </c>
      <c r="C122" t="s">
        <v>30</v>
      </c>
      <c r="D122">
        <v>164</v>
      </c>
      <c r="E122">
        <v>32238</v>
      </c>
      <c r="F122">
        <v>196.57317073170731</v>
      </c>
      <c r="W122" t="s">
        <v>86</v>
      </c>
      <c r="X122">
        <v>201.83124220987617</v>
      </c>
      <c r="Y122">
        <v>2.8522968931387465</v>
      </c>
    </row>
    <row r="123" spans="1:25" x14ac:dyDescent="0.2">
      <c r="A123" t="s">
        <v>19</v>
      </c>
      <c r="B123" t="s">
        <v>5</v>
      </c>
      <c r="C123" t="s">
        <v>30</v>
      </c>
      <c r="D123">
        <v>148</v>
      </c>
      <c r="E123">
        <v>28464</v>
      </c>
      <c r="F123">
        <v>192.32432432432432</v>
      </c>
    </row>
    <row r="124" spans="1:25" x14ac:dyDescent="0.2">
      <c r="A124" t="s">
        <v>19</v>
      </c>
      <c r="B124" t="s">
        <v>6</v>
      </c>
      <c r="C124" t="s">
        <v>30</v>
      </c>
      <c r="D124">
        <v>149</v>
      </c>
      <c r="E124">
        <v>28362</v>
      </c>
      <c r="F124">
        <v>190.34899328859061</v>
      </c>
    </row>
    <row r="125" spans="1:25" x14ac:dyDescent="0.2">
      <c r="A125" t="s">
        <v>19</v>
      </c>
      <c r="B125" t="s">
        <v>7</v>
      </c>
      <c r="C125" t="s">
        <v>30</v>
      </c>
      <c r="D125">
        <v>158</v>
      </c>
      <c r="E125">
        <v>30192</v>
      </c>
      <c r="F125">
        <v>191.08860759493672</v>
      </c>
    </row>
    <row r="126" spans="1:25" x14ac:dyDescent="0.2">
      <c r="A126" t="s">
        <v>19</v>
      </c>
      <c r="B126" t="s">
        <v>8</v>
      </c>
      <c r="C126" t="s">
        <v>30</v>
      </c>
      <c r="D126">
        <v>155</v>
      </c>
      <c r="E126">
        <v>29514</v>
      </c>
      <c r="F126">
        <v>190.41290322580645</v>
      </c>
      <c r="G126">
        <f>AVERAGE(F122:F126)</f>
        <v>192.14959983307307</v>
      </c>
      <c r="H126">
        <f>STDEV(F122:F126)/SQRT(5)</f>
        <v>1.1615186547403529</v>
      </c>
    </row>
    <row r="127" spans="1:25" x14ac:dyDescent="0.2">
      <c r="A127" t="s">
        <v>19</v>
      </c>
      <c r="B127" t="s">
        <v>4</v>
      </c>
      <c r="C127" t="s">
        <v>29</v>
      </c>
      <c r="D127">
        <v>132</v>
      </c>
      <c r="E127">
        <v>25506</v>
      </c>
      <c r="F127">
        <v>193.22727272727272</v>
      </c>
    </row>
    <row r="128" spans="1:25" x14ac:dyDescent="0.2">
      <c r="A128" t="s">
        <v>19</v>
      </c>
      <c r="B128" t="s">
        <v>5</v>
      </c>
      <c r="C128" t="s">
        <v>29</v>
      </c>
      <c r="D128">
        <v>150</v>
      </c>
      <c r="E128">
        <v>29340</v>
      </c>
      <c r="F128">
        <v>195.6</v>
      </c>
    </row>
    <row r="129" spans="1:8" x14ac:dyDescent="0.2">
      <c r="A129" t="s">
        <v>19</v>
      </c>
      <c r="B129" t="s">
        <v>6</v>
      </c>
      <c r="C129" t="s">
        <v>29</v>
      </c>
      <c r="D129">
        <v>153</v>
      </c>
      <c r="E129">
        <v>29616</v>
      </c>
      <c r="F129">
        <v>193.56862745098039</v>
      </c>
    </row>
    <row r="130" spans="1:8" x14ac:dyDescent="0.2">
      <c r="A130" t="s">
        <v>19</v>
      </c>
      <c r="B130" t="s">
        <v>7</v>
      </c>
      <c r="C130" t="s">
        <v>29</v>
      </c>
      <c r="D130">
        <v>153</v>
      </c>
      <c r="E130">
        <v>29466</v>
      </c>
      <c r="F130">
        <v>192.58823529411765</v>
      </c>
    </row>
    <row r="131" spans="1:8" x14ac:dyDescent="0.2">
      <c r="A131" t="s">
        <v>19</v>
      </c>
      <c r="B131" t="s">
        <v>8</v>
      </c>
      <c r="C131" t="s">
        <v>29</v>
      </c>
      <c r="D131">
        <v>160</v>
      </c>
      <c r="E131">
        <v>31014</v>
      </c>
      <c r="F131">
        <v>193.83750000000001</v>
      </c>
      <c r="G131">
        <f>AVERAGE(F127:F131)</f>
        <v>193.76432709447414</v>
      </c>
      <c r="H131">
        <f>STDEV(F127:F131)/SQRT(5)</f>
        <v>0.50423045112548959</v>
      </c>
    </row>
    <row r="133" spans="1:8" x14ac:dyDescent="0.2">
      <c r="A133" t="s">
        <v>20</v>
      </c>
      <c r="B133" t="s">
        <v>4</v>
      </c>
      <c r="C133" t="s">
        <v>30</v>
      </c>
      <c r="D133">
        <v>78</v>
      </c>
      <c r="E133">
        <v>16944</v>
      </c>
      <c r="F133">
        <v>217.23076923076923</v>
      </c>
    </row>
    <row r="134" spans="1:8" x14ac:dyDescent="0.2">
      <c r="A134" t="s">
        <v>20</v>
      </c>
      <c r="B134" t="s">
        <v>5</v>
      </c>
      <c r="C134" t="s">
        <v>30</v>
      </c>
      <c r="D134">
        <v>60</v>
      </c>
      <c r="E134">
        <v>14004</v>
      </c>
      <c r="F134">
        <v>233.4</v>
      </c>
    </row>
    <row r="135" spans="1:8" x14ac:dyDescent="0.2">
      <c r="A135" t="s">
        <v>20</v>
      </c>
      <c r="B135" t="s">
        <v>6</v>
      </c>
      <c r="C135" t="s">
        <v>30</v>
      </c>
      <c r="D135">
        <v>85</v>
      </c>
      <c r="E135">
        <v>18846</v>
      </c>
      <c r="F135">
        <v>221.71764705882353</v>
      </c>
    </row>
    <row r="136" spans="1:8" x14ac:dyDescent="0.2">
      <c r="A136" t="s">
        <v>20</v>
      </c>
      <c r="B136" t="s">
        <v>7</v>
      </c>
      <c r="C136" t="s">
        <v>30</v>
      </c>
      <c r="D136">
        <v>51</v>
      </c>
      <c r="E136">
        <v>10536</v>
      </c>
      <c r="F136">
        <v>206.58823529411765</v>
      </c>
    </row>
    <row r="137" spans="1:8" x14ac:dyDescent="0.2">
      <c r="A137" t="s">
        <v>20</v>
      </c>
      <c r="B137" t="s">
        <v>8</v>
      </c>
      <c r="C137" t="s">
        <v>30</v>
      </c>
      <c r="D137">
        <v>60</v>
      </c>
      <c r="E137">
        <v>13098</v>
      </c>
      <c r="F137">
        <v>218.3</v>
      </c>
      <c r="G137">
        <f>AVERAGE(F133:F137)</f>
        <v>219.4473303167421</v>
      </c>
      <c r="H137">
        <f>STDEV(F133:F137)/SQRT(5)</f>
        <v>4.3093918602508694</v>
      </c>
    </row>
    <row r="138" spans="1:8" x14ac:dyDescent="0.2">
      <c r="A138" t="s">
        <v>20</v>
      </c>
      <c r="B138" t="s">
        <v>4</v>
      </c>
      <c r="C138" t="s">
        <v>29</v>
      </c>
      <c r="D138">
        <v>166</v>
      </c>
      <c r="E138">
        <v>32988</v>
      </c>
      <c r="F138">
        <v>198.72289156626505</v>
      </c>
    </row>
    <row r="139" spans="1:8" x14ac:dyDescent="0.2">
      <c r="A139" t="s">
        <v>20</v>
      </c>
      <c r="B139" t="s">
        <v>5</v>
      </c>
      <c r="C139" t="s">
        <v>29</v>
      </c>
      <c r="D139">
        <v>55</v>
      </c>
      <c r="E139">
        <v>12582</v>
      </c>
      <c r="F139">
        <v>228.76363636363635</v>
      </c>
    </row>
    <row r="140" spans="1:8" x14ac:dyDescent="0.2">
      <c r="A140" t="s">
        <v>20</v>
      </c>
      <c r="B140" t="s">
        <v>6</v>
      </c>
      <c r="C140" t="s">
        <v>29</v>
      </c>
      <c r="D140">
        <v>71</v>
      </c>
      <c r="E140">
        <v>16164</v>
      </c>
      <c r="F140">
        <v>227.66197183098592</v>
      </c>
    </row>
    <row r="141" spans="1:8" x14ac:dyDescent="0.2">
      <c r="A141" t="s">
        <v>20</v>
      </c>
      <c r="B141" t="s">
        <v>7</v>
      </c>
      <c r="C141" t="s">
        <v>29</v>
      </c>
      <c r="D141">
        <v>68</v>
      </c>
      <c r="E141">
        <v>14544</v>
      </c>
      <c r="F141">
        <v>213.88235294117646</v>
      </c>
    </row>
    <row r="142" spans="1:8" x14ac:dyDescent="0.2">
      <c r="A142" t="s">
        <v>20</v>
      </c>
      <c r="B142" t="s">
        <v>8</v>
      </c>
      <c r="C142" t="s">
        <v>29</v>
      </c>
      <c r="D142">
        <v>87</v>
      </c>
      <c r="E142">
        <v>19008</v>
      </c>
      <c r="F142">
        <v>218.48275862068965</v>
      </c>
      <c r="G142">
        <f>AVERAGE(F138:F142)</f>
        <v>217.50272226455067</v>
      </c>
      <c r="H142">
        <f>STDEV(F138:F142)/SQRT(5)</f>
        <v>5.4624542307160606</v>
      </c>
    </row>
    <row r="144" spans="1:8" x14ac:dyDescent="0.2">
      <c r="A144" t="s">
        <v>21</v>
      </c>
      <c r="B144" t="s">
        <v>4</v>
      </c>
      <c r="C144" t="s">
        <v>30</v>
      </c>
      <c r="D144">
        <v>29</v>
      </c>
      <c r="E144">
        <v>5574</v>
      </c>
      <c r="F144">
        <v>192.20689655172413</v>
      </c>
    </row>
    <row r="145" spans="1:8" x14ac:dyDescent="0.2">
      <c r="A145" t="s">
        <v>21</v>
      </c>
      <c r="B145" t="s">
        <v>5</v>
      </c>
      <c r="C145" t="s">
        <v>30</v>
      </c>
      <c r="D145">
        <v>37</v>
      </c>
      <c r="E145">
        <v>7110</v>
      </c>
      <c r="F145">
        <v>192.16216216216216</v>
      </c>
    </row>
    <row r="146" spans="1:8" x14ac:dyDescent="0.2">
      <c r="A146" t="s">
        <v>21</v>
      </c>
      <c r="B146" t="s">
        <v>6</v>
      </c>
      <c r="C146" t="s">
        <v>30</v>
      </c>
      <c r="D146">
        <v>51</v>
      </c>
      <c r="E146">
        <v>9798</v>
      </c>
      <c r="F146">
        <v>192.11764705882354</v>
      </c>
    </row>
    <row r="147" spans="1:8" x14ac:dyDescent="0.2">
      <c r="A147" t="s">
        <v>21</v>
      </c>
      <c r="B147" t="s">
        <v>7</v>
      </c>
      <c r="C147" t="s">
        <v>30</v>
      </c>
      <c r="D147">
        <v>31</v>
      </c>
      <c r="E147">
        <v>5898</v>
      </c>
      <c r="F147">
        <v>190.25806451612902</v>
      </c>
    </row>
    <row r="148" spans="1:8" x14ac:dyDescent="0.2">
      <c r="A148" t="s">
        <v>21</v>
      </c>
      <c r="B148" t="s">
        <v>8</v>
      </c>
      <c r="C148" t="s">
        <v>30</v>
      </c>
      <c r="D148">
        <v>38</v>
      </c>
      <c r="E148">
        <v>7248</v>
      </c>
      <c r="F148">
        <v>190.73684210526315</v>
      </c>
      <c r="G148">
        <f>AVERAGE(F144:F148)</f>
        <v>191.49632247882039</v>
      </c>
      <c r="H148">
        <f>STDEV(F144:F148)/SQRT(5)</f>
        <v>0.41499370180154405</v>
      </c>
    </row>
    <row r="149" spans="1:8" x14ac:dyDescent="0.2">
      <c r="A149" t="s">
        <v>21</v>
      </c>
      <c r="B149" t="s">
        <v>4</v>
      </c>
      <c r="C149" t="s">
        <v>29</v>
      </c>
      <c r="D149">
        <v>46</v>
      </c>
      <c r="E149">
        <v>9018</v>
      </c>
      <c r="F149">
        <v>196.04347826086956</v>
      </c>
    </row>
    <row r="150" spans="1:8" x14ac:dyDescent="0.2">
      <c r="A150" t="s">
        <v>21</v>
      </c>
      <c r="B150" t="s">
        <v>5</v>
      </c>
      <c r="C150" t="s">
        <v>29</v>
      </c>
      <c r="D150">
        <v>40</v>
      </c>
      <c r="E150">
        <v>7818</v>
      </c>
      <c r="F150">
        <v>195.45</v>
      </c>
    </row>
    <row r="151" spans="1:8" x14ac:dyDescent="0.2">
      <c r="A151" t="s">
        <v>21</v>
      </c>
      <c r="B151" t="s">
        <v>6</v>
      </c>
      <c r="C151" t="s">
        <v>29</v>
      </c>
      <c r="D151">
        <v>45</v>
      </c>
      <c r="E151">
        <v>8862</v>
      </c>
      <c r="F151">
        <v>196.93333333333334</v>
      </c>
    </row>
    <row r="152" spans="1:8" x14ac:dyDescent="0.2">
      <c r="A152" t="s">
        <v>21</v>
      </c>
      <c r="B152" t="s">
        <v>7</v>
      </c>
      <c r="C152" t="s">
        <v>29</v>
      </c>
      <c r="D152">
        <v>39</v>
      </c>
      <c r="E152">
        <v>7554</v>
      </c>
      <c r="F152">
        <v>193.69230769230768</v>
      </c>
    </row>
    <row r="153" spans="1:8" x14ac:dyDescent="0.2">
      <c r="A153" t="s">
        <v>21</v>
      </c>
      <c r="B153" t="s">
        <v>8</v>
      </c>
      <c r="C153" t="s">
        <v>29</v>
      </c>
      <c r="D153">
        <v>33</v>
      </c>
      <c r="E153">
        <v>6462</v>
      </c>
      <c r="F153">
        <v>195.81818181818181</v>
      </c>
      <c r="G153">
        <f>AVERAGE(F149:F153)</f>
        <v>195.58746022093845</v>
      </c>
      <c r="H153">
        <f>STDEV(F149:F153)/SQRT(5)</f>
        <v>0.53305992918060807</v>
      </c>
    </row>
    <row r="155" spans="1:8" x14ac:dyDescent="0.2">
      <c r="A155" t="s">
        <v>22</v>
      </c>
      <c r="B155" t="s">
        <v>4</v>
      </c>
      <c r="C155" t="s">
        <v>30</v>
      </c>
      <c r="D155">
        <v>40</v>
      </c>
      <c r="E155">
        <v>7722</v>
      </c>
      <c r="F155">
        <v>193.05</v>
      </c>
    </row>
    <row r="156" spans="1:8" x14ac:dyDescent="0.2">
      <c r="A156" t="s">
        <v>22</v>
      </c>
      <c r="B156" t="s">
        <v>5</v>
      </c>
      <c r="C156" t="s">
        <v>30</v>
      </c>
      <c r="D156">
        <v>35</v>
      </c>
      <c r="E156">
        <v>6774</v>
      </c>
      <c r="F156">
        <v>193.54285714285714</v>
      </c>
    </row>
    <row r="157" spans="1:8" x14ac:dyDescent="0.2">
      <c r="A157" t="s">
        <v>22</v>
      </c>
      <c r="B157" t="s">
        <v>6</v>
      </c>
      <c r="C157" t="s">
        <v>30</v>
      </c>
      <c r="D157">
        <v>34</v>
      </c>
      <c r="E157">
        <v>6450</v>
      </c>
      <c r="F157">
        <v>189.70588235294119</v>
      </c>
    </row>
    <row r="158" spans="1:8" x14ac:dyDescent="0.2">
      <c r="A158" t="s">
        <v>22</v>
      </c>
      <c r="B158" t="s">
        <v>7</v>
      </c>
      <c r="C158" t="s">
        <v>30</v>
      </c>
      <c r="D158">
        <v>34</v>
      </c>
      <c r="E158">
        <v>6504</v>
      </c>
      <c r="F158">
        <v>191.29411764705881</v>
      </c>
    </row>
    <row r="159" spans="1:8" x14ac:dyDescent="0.2">
      <c r="A159" t="s">
        <v>22</v>
      </c>
      <c r="B159" t="s">
        <v>8</v>
      </c>
      <c r="C159" t="s">
        <v>30</v>
      </c>
      <c r="D159">
        <v>37</v>
      </c>
      <c r="E159">
        <v>7056</v>
      </c>
      <c r="F159">
        <v>190.70270270270271</v>
      </c>
      <c r="G159">
        <f>AVERAGE(F155:F159)</f>
        <v>191.65911196911196</v>
      </c>
      <c r="H159">
        <f>STDEV(F155:F159)/SQRT(5)</f>
        <v>0.71923955910277393</v>
      </c>
    </row>
    <row r="160" spans="1:8" x14ac:dyDescent="0.2">
      <c r="A160" t="s">
        <v>22</v>
      </c>
      <c r="B160" t="s">
        <v>4</v>
      </c>
      <c r="C160" t="s">
        <v>29</v>
      </c>
      <c r="D160">
        <v>27</v>
      </c>
      <c r="E160">
        <v>5298</v>
      </c>
      <c r="F160">
        <v>196.22222222222223</v>
      </c>
    </row>
    <row r="161" spans="1:8" x14ac:dyDescent="0.2">
      <c r="A161" t="s">
        <v>22</v>
      </c>
      <c r="B161" t="s">
        <v>5</v>
      </c>
      <c r="C161" t="s">
        <v>29</v>
      </c>
      <c r="D161">
        <v>36</v>
      </c>
      <c r="E161">
        <v>7050</v>
      </c>
      <c r="F161">
        <v>195.83333333333334</v>
      </c>
    </row>
    <row r="162" spans="1:8" x14ac:dyDescent="0.2">
      <c r="A162" t="s">
        <v>22</v>
      </c>
      <c r="B162" t="s">
        <v>6</v>
      </c>
      <c r="C162" t="s">
        <v>29</v>
      </c>
      <c r="D162">
        <v>27</v>
      </c>
      <c r="E162">
        <v>5250</v>
      </c>
      <c r="F162">
        <v>194.44444444444446</v>
      </c>
    </row>
    <row r="163" spans="1:8" x14ac:dyDescent="0.2">
      <c r="A163" t="s">
        <v>22</v>
      </c>
      <c r="B163" t="s">
        <v>7</v>
      </c>
      <c r="C163" t="s">
        <v>29</v>
      </c>
      <c r="D163">
        <v>41</v>
      </c>
      <c r="E163">
        <v>8052</v>
      </c>
      <c r="F163">
        <v>196.39024390243901</v>
      </c>
    </row>
    <row r="164" spans="1:8" x14ac:dyDescent="0.2">
      <c r="A164" t="s">
        <v>22</v>
      </c>
      <c r="B164" t="s">
        <v>8</v>
      </c>
      <c r="C164" t="s">
        <v>29</v>
      </c>
      <c r="D164">
        <v>35</v>
      </c>
      <c r="E164">
        <v>6798</v>
      </c>
      <c r="F164">
        <v>194.22857142857143</v>
      </c>
      <c r="G164">
        <f>AVERAGE(F160:F164)</f>
        <v>195.42376306620207</v>
      </c>
      <c r="H164">
        <f>STDEV(F160:F164)/SQRT(5)</f>
        <v>0.45425312590818284</v>
      </c>
    </row>
    <row r="166" spans="1:8" x14ac:dyDescent="0.2">
      <c r="A166" t="s">
        <v>23</v>
      </c>
      <c r="B166" t="s">
        <v>4</v>
      </c>
      <c r="C166" t="s">
        <v>30</v>
      </c>
      <c r="D166">
        <v>41</v>
      </c>
      <c r="E166">
        <v>8178</v>
      </c>
      <c r="F166">
        <v>199.46341463414635</v>
      </c>
    </row>
    <row r="167" spans="1:8" x14ac:dyDescent="0.2">
      <c r="A167" t="s">
        <v>23</v>
      </c>
      <c r="B167" t="s">
        <v>5</v>
      </c>
      <c r="C167" t="s">
        <v>30</v>
      </c>
      <c r="D167">
        <v>61</v>
      </c>
      <c r="E167">
        <v>12534</v>
      </c>
      <c r="F167">
        <v>205.47540983606558</v>
      </c>
    </row>
    <row r="168" spans="1:8" x14ac:dyDescent="0.2">
      <c r="A168" t="s">
        <v>23</v>
      </c>
      <c r="B168" t="s">
        <v>6</v>
      </c>
      <c r="C168" t="s">
        <v>30</v>
      </c>
      <c r="D168">
        <v>57</v>
      </c>
      <c r="E168">
        <v>11700</v>
      </c>
      <c r="F168">
        <v>205.26315789473685</v>
      </c>
    </row>
    <row r="169" spans="1:8" x14ac:dyDescent="0.2">
      <c r="A169" t="s">
        <v>23</v>
      </c>
      <c r="B169" t="s">
        <v>7</v>
      </c>
      <c r="C169" t="s">
        <v>30</v>
      </c>
      <c r="D169">
        <v>35</v>
      </c>
      <c r="E169">
        <v>6942</v>
      </c>
      <c r="F169">
        <v>198.34285714285716</v>
      </c>
    </row>
    <row r="170" spans="1:8" x14ac:dyDescent="0.2">
      <c r="A170" t="s">
        <v>23</v>
      </c>
      <c r="B170" t="s">
        <v>8</v>
      </c>
      <c r="C170" t="s">
        <v>30</v>
      </c>
      <c r="D170">
        <v>39</v>
      </c>
      <c r="E170">
        <v>7680</v>
      </c>
      <c r="F170">
        <v>196.92307692307693</v>
      </c>
      <c r="G170">
        <f>AVERAGE(F166:F170)</f>
        <v>201.09358328617657</v>
      </c>
      <c r="H170">
        <f>STDEV(F166:F170)/SQRT(5)</f>
        <v>1.7916866886249994</v>
      </c>
    </row>
    <row r="171" spans="1:8" x14ac:dyDescent="0.2">
      <c r="A171" t="s">
        <v>23</v>
      </c>
      <c r="B171" t="s">
        <v>4</v>
      </c>
      <c r="C171" t="s">
        <v>29</v>
      </c>
      <c r="D171">
        <v>50</v>
      </c>
      <c r="E171">
        <v>10278</v>
      </c>
      <c r="F171">
        <v>205.56</v>
      </c>
    </row>
    <row r="172" spans="1:8" x14ac:dyDescent="0.2">
      <c r="A172" t="s">
        <v>23</v>
      </c>
      <c r="B172" t="s">
        <v>5</v>
      </c>
      <c r="C172" t="s">
        <v>29</v>
      </c>
      <c r="D172">
        <v>47</v>
      </c>
      <c r="E172">
        <v>9882</v>
      </c>
      <c r="F172">
        <v>210.25531914893617</v>
      </c>
    </row>
    <row r="173" spans="1:8" x14ac:dyDescent="0.2">
      <c r="A173" t="s">
        <v>23</v>
      </c>
      <c r="B173" t="s">
        <v>6</v>
      </c>
      <c r="C173" t="s">
        <v>29</v>
      </c>
      <c r="D173">
        <v>49</v>
      </c>
      <c r="E173">
        <v>10098</v>
      </c>
      <c r="F173">
        <v>206.08163265306123</v>
      </c>
    </row>
    <row r="174" spans="1:8" x14ac:dyDescent="0.2">
      <c r="A174" t="s">
        <v>23</v>
      </c>
      <c r="B174" t="s">
        <v>7</v>
      </c>
      <c r="C174" t="s">
        <v>29</v>
      </c>
      <c r="D174">
        <v>48</v>
      </c>
      <c r="E174">
        <v>9756</v>
      </c>
      <c r="F174">
        <v>203.25</v>
      </c>
    </row>
    <row r="175" spans="1:8" x14ac:dyDescent="0.2">
      <c r="A175" t="s">
        <v>23</v>
      </c>
      <c r="B175" t="s">
        <v>8</v>
      </c>
      <c r="C175" t="s">
        <v>29</v>
      </c>
      <c r="D175">
        <v>48</v>
      </c>
      <c r="E175">
        <v>9708</v>
      </c>
      <c r="F175">
        <v>202.25</v>
      </c>
      <c r="G175">
        <f>AVERAGE(F171:F175)</f>
        <v>205.47939036039946</v>
      </c>
      <c r="H175">
        <f>STDEV(F171:F175)/SQRT(5)</f>
        <v>1.3888454371369716</v>
      </c>
    </row>
    <row r="177" spans="1:8" x14ac:dyDescent="0.2">
      <c r="A177" t="s">
        <v>24</v>
      </c>
      <c r="B177" t="s">
        <v>4</v>
      </c>
      <c r="C177" t="s">
        <v>30</v>
      </c>
      <c r="D177">
        <v>47</v>
      </c>
      <c r="E177">
        <v>9384</v>
      </c>
      <c r="F177">
        <v>199.65957446808511</v>
      </c>
    </row>
    <row r="178" spans="1:8" x14ac:dyDescent="0.2">
      <c r="A178" t="s">
        <v>24</v>
      </c>
      <c r="B178" t="s">
        <v>5</v>
      </c>
      <c r="C178" t="s">
        <v>30</v>
      </c>
      <c r="D178">
        <v>53</v>
      </c>
      <c r="E178">
        <v>10842</v>
      </c>
      <c r="F178">
        <v>204.56603773584905</v>
      </c>
    </row>
    <row r="179" spans="1:8" x14ac:dyDescent="0.2">
      <c r="A179" t="s">
        <v>24</v>
      </c>
      <c r="B179" t="s">
        <v>6</v>
      </c>
      <c r="C179" t="s">
        <v>30</v>
      </c>
      <c r="D179">
        <v>43</v>
      </c>
      <c r="E179">
        <v>8550</v>
      </c>
      <c r="F179">
        <v>198.83720930232559</v>
      </c>
    </row>
    <row r="180" spans="1:8" x14ac:dyDescent="0.2">
      <c r="A180" t="s">
        <v>24</v>
      </c>
      <c r="B180" t="s">
        <v>7</v>
      </c>
      <c r="C180" t="s">
        <v>30</v>
      </c>
      <c r="D180">
        <v>41</v>
      </c>
      <c r="E180">
        <v>8124</v>
      </c>
      <c r="F180">
        <v>198.14634146341464</v>
      </c>
    </row>
    <row r="181" spans="1:8" x14ac:dyDescent="0.2">
      <c r="A181" t="s">
        <v>24</v>
      </c>
      <c r="B181" t="s">
        <v>8</v>
      </c>
      <c r="C181" t="s">
        <v>30</v>
      </c>
      <c r="D181">
        <v>46</v>
      </c>
      <c r="E181">
        <v>9084</v>
      </c>
      <c r="F181">
        <v>197.47826086956522</v>
      </c>
      <c r="G181">
        <f>AVERAGE(F177:F181)</f>
        <v>199.73748476784792</v>
      </c>
      <c r="H181">
        <f>STDEV(F177:F181)/SQRT(5)</f>
        <v>1.2603039183315592</v>
      </c>
    </row>
    <row r="182" spans="1:8" x14ac:dyDescent="0.2">
      <c r="A182" t="s">
        <v>24</v>
      </c>
      <c r="B182" t="s">
        <v>4</v>
      </c>
      <c r="C182" t="s">
        <v>29</v>
      </c>
      <c r="D182">
        <v>50</v>
      </c>
      <c r="E182">
        <v>10152</v>
      </c>
      <c r="F182">
        <v>203.04</v>
      </c>
    </row>
    <row r="183" spans="1:8" x14ac:dyDescent="0.2">
      <c r="A183" t="s">
        <v>24</v>
      </c>
      <c r="B183" t="s">
        <v>5</v>
      </c>
      <c r="C183" t="s">
        <v>29</v>
      </c>
      <c r="D183">
        <v>53</v>
      </c>
      <c r="E183">
        <v>11064</v>
      </c>
      <c r="F183">
        <v>208.75471698113208</v>
      </c>
    </row>
    <row r="184" spans="1:8" x14ac:dyDescent="0.2">
      <c r="A184" t="s">
        <v>24</v>
      </c>
      <c r="B184" t="s">
        <v>6</v>
      </c>
      <c r="C184" t="s">
        <v>29</v>
      </c>
      <c r="D184">
        <v>39</v>
      </c>
      <c r="E184">
        <v>7986</v>
      </c>
      <c r="F184">
        <v>204.76923076923077</v>
      </c>
    </row>
    <row r="185" spans="1:8" x14ac:dyDescent="0.2">
      <c r="A185" t="s">
        <v>24</v>
      </c>
      <c r="B185" t="s">
        <v>7</v>
      </c>
      <c r="C185" t="s">
        <v>29</v>
      </c>
      <c r="D185">
        <v>56</v>
      </c>
      <c r="E185">
        <v>11526</v>
      </c>
      <c r="F185">
        <v>205.82142857142858</v>
      </c>
    </row>
    <row r="186" spans="1:8" x14ac:dyDescent="0.2">
      <c r="A186" t="s">
        <v>24</v>
      </c>
      <c r="B186" t="s">
        <v>8</v>
      </c>
      <c r="C186" t="s">
        <v>29</v>
      </c>
      <c r="D186">
        <v>40</v>
      </c>
      <c r="E186">
        <v>8070</v>
      </c>
      <c r="F186">
        <v>201.75</v>
      </c>
      <c r="G186">
        <f>AVERAGE(F182:F186)</f>
        <v>204.82707526435826</v>
      </c>
      <c r="H186">
        <f>STDEV(F182:F186)/SQRT(5)</f>
        <v>1.2058292607837737</v>
      </c>
    </row>
    <row r="188" spans="1:8" x14ac:dyDescent="0.2">
      <c r="A188" t="s">
        <v>25</v>
      </c>
      <c r="B188" t="s">
        <v>4</v>
      </c>
      <c r="C188" t="s">
        <v>30</v>
      </c>
      <c r="D188">
        <v>56</v>
      </c>
      <c r="E188">
        <v>11850</v>
      </c>
      <c r="F188">
        <v>211.60714285714286</v>
      </c>
    </row>
    <row r="189" spans="1:8" x14ac:dyDescent="0.2">
      <c r="A189" t="s">
        <v>25</v>
      </c>
      <c r="B189" t="s">
        <v>5</v>
      </c>
      <c r="C189" t="s">
        <v>30</v>
      </c>
      <c r="D189">
        <v>42</v>
      </c>
      <c r="E189">
        <v>8532</v>
      </c>
      <c r="F189">
        <v>203.14285714285714</v>
      </c>
    </row>
    <row r="190" spans="1:8" x14ac:dyDescent="0.2">
      <c r="A190" t="s">
        <v>25</v>
      </c>
      <c r="B190" t="s">
        <v>6</v>
      </c>
      <c r="C190" t="s">
        <v>30</v>
      </c>
      <c r="D190">
        <v>46</v>
      </c>
      <c r="E190">
        <v>9510</v>
      </c>
      <c r="F190">
        <v>206.7391304347826</v>
      </c>
    </row>
    <row r="191" spans="1:8" x14ac:dyDescent="0.2">
      <c r="A191" t="s">
        <v>25</v>
      </c>
      <c r="B191" t="s">
        <v>7</v>
      </c>
      <c r="C191" t="s">
        <v>30</v>
      </c>
      <c r="D191">
        <v>44</v>
      </c>
      <c r="E191">
        <v>8994</v>
      </c>
      <c r="F191">
        <v>204.40909090909091</v>
      </c>
    </row>
    <row r="192" spans="1:8" x14ac:dyDescent="0.2">
      <c r="A192" t="s">
        <v>25</v>
      </c>
      <c r="B192" t="s">
        <v>8</v>
      </c>
      <c r="C192" t="s">
        <v>30</v>
      </c>
      <c r="D192">
        <v>63</v>
      </c>
      <c r="E192">
        <v>12996</v>
      </c>
      <c r="F192">
        <v>206.28571428571428</v>
      </c>
      <c r="G192">
        <f>AVERAGE(F188:F192)</f>
        <v>206.43678712591753</v>
      </c>
      <c r="H192">
        <f>STDEV(F188:F192)/SQRT(5)</f>
        <v>1.4458274369355841</v>
      </c>
    </row>
    <row r="193" spans="1:8" x14ac:dyDescent="0.2">
      <c r="A193" t="s">
        <v>25</v>
      </c>
      <c r="B193" t="s">
        <v>4</v>
      </c>
      <c r="C193" t="s">
        <v>29</v>
      </c>
      <c r="D193">
        <v>60</v>
      </c>
      <c r="E193">
        <v>12936</v>
      </c>
      <c r="F193">
        <v>215.6</v>
      </c>
    </row>
    <row r="194" spans="1:8" x14ac:dyDescent="0.2">
      <c r="A194" t="s">
        <v>25</v>
      </c>
      <c r="B194" t="s">
        <v>5</v>
      </c>
      <c r="C194" t="s">
        <v>29</v>
      </c>
      <c r="D194">
        <v>50</v>
      </c>
      <c r="E194">
        <v>10476</v>
      </c>
      <c r="F194">
        <v>209.52</v>
      </c>
    </row>
    <row r="195" spans="1:8" x14ac:dyDescent="0.2">
      <c r="A195" t="s">
        <v>25</v>
      </c>
      <c r="B195" t="s">
        <v>6</v>
      </c>
      <c r="C195" t="s">
        <v>29</v>
      </c>
      <c r="D195">
        <v>45</v>
      </c>
      <c r="E195">
        <v>9414</v>
      </c>
      <c r="F195">
        <v>209.2</v>
      </c>
    </row>
    <row r="196" spans="1:8" x14ac:dyDescent="0.2">
      <c r="A196" t="s">
        <v>25</v>
      </c>
      <c r="B196" t="s">
        <v>7</v>
      </c>
      <c r="C196" t="s">
        <v>29</v>
      </c>
      <c r="D196">
        <v>46</v>
      </c>
      <c r="E196">
        <v>9528</v>
      </c>
      <c r="F196">
        <v>207.13043478260869</v>
      </c>
    </row>
    <row r="197" spans="1:8" x14ac:dyDescent="0.2">
      <c r="A197" t="s">
        <v>25</v>
      </c>
      <c r="B197" t="s">
        <v>8</v>
      </c>
      <c r="C197" t="s">
        <v>29</v>
      </c>
      <c r="D197">
        <v>49</v>
      </c>
      <c r="E197">
        <v>10482</v>
      </c>
      <c r="F197">
        <v>213.91836734693877</v>
      </c>
      <c r="G197">
        <f>AVERAGE(F193:F197)</f>
        <v>211.07376042590948</v>
      </c>
      <c r="H197">
        <f>STDEV(F193:F197)/SQRT(5)</f>
        <v>1.5819860925616775</v>
      </c>
    </row>
    <row r="199" spans="1:8" x14ac:dyDescent="0.2">
      <c r="A199" t="s">
        <v>26</v>
      </c>
      <c r="B199" t="s">
        <v>4</v>
      </c>
      <c r="C199" t="s">
        <v>30</v>
      </c>
      <c r="D199">
        <v>51</v>
      </c>
      <c r="E199">
        <v>10230</v>
      </c>
      <c r="F199">
        <v>200.58823529411765</v>
      </c>
    </row>
    <row r="200" spans="1:8" x14ac:dyDescent="0.2">
      <c r="A200" t="s">
        <v>26</v>
      </c>
      <c r="B200" t="s">
        <v>5</v>
      </c>
      <c r="C200" t="s">
        <v>30</v>
      </c>
      <c r="D200">
        <v>43</v>
      </c>
      <c r="E200">
        <v>8718</v>
      </c>
      <c r="F200">
        <v>202.74418604651163</v>
      </c>
    </row>
    <row r="201" spans="1:8" x14ac:dyDescent="0.2">
      <c r="A201" t="s">
        <v>26</v>
      </c>
      <c r="B201" t="s">
        <v>6</v>
      </c>
      <c r="C201" t="s">
        <v>30</v>
      </c>
      <c r="D201">
        <v>52</v>
      </c>
      <c r="E201">
        <v>10620</v>
      </c>
      <c r="F201">
        <v>204.23076923076923</v>
      </c>
    </row>
    <row r="202" spans="1:8" x14ac:dyDescent="0.2">
      <c r="A202" t="s">
        <v>26</v>
      </c>
      <c r="B202" t="s">
        <v>7</v>
      </c>
      <c r="C202" t="s">
        <v>30</v>
      </c>
      <c r="D202">
        <v>43</v>
      </c>
      <c r="E202">
        <v>8706</v>
      </c>
      <c r="F202">
        <v>202.46511627906978</v>
      </c>
    </row>
    <row r="203" spans="1:8" x14ac:dyDescent="0.2">
      <c r="A203" t="s">
        <v>26</v>
      </c>
      <c r="B203" t="s">
        <v>8</v>
      </c>
      <c r="C203" t="s">
        <v>30</v>
      </c>
      <c r="D203">
        <v>41</v>
      </c>
      <c r="E203">
        <v>8412</v>
      </c>
      <c r="F203">
        <v>205.17073170731706</v>
      </c>
      <c r="G203">
        <f>AVERAGE(F199:F203)</f>
        <v>203.03980771155707</v>
      </c>
      <c r="H203">
        <f>STDEV(F199:F203)/SQRT(5)</f>
        <v>0.78699098296353232</v>
      </c>
    </row>
    <row r="204" spans="1:8" x14ac:dyDescent="0.2">
      <c r="A204" t="s">
        <v>26</v>
      </c>
      <c r="B204" t="s">
        <v>4</v>
      </c>
      <c r="C204" t="s">
        <v>29</v>
      </c>
      <c r="D204">
        <v>36</v>
      </c>
      <c r="E204">
        <v>7362</v>
      </c>
      <c r="F204">
        <v>204.5</v>
      </c>
    </row>
    <row r="205" spans="1:8" x14ac:dyDescent="0.2">
      <c r="A205" t="s">
        <v>26</v>
      </c>
      <c r="B205" t="s">
        <v>5</v>
      </c>
      <c r="C205" t="s">
        <v>29</v>
      </c>
      <c r="D205">
        <v>33</v>
      </c>
      <c r="E205">
        <v>7056</v>
      </c>
      <c r="F205">
        <v>213.81818181818181</v>
      </c>
    </row>
    <row r="206" spans="1:8" x14ac:dyDescent="0.2">
      <c r="A206" t="s">
        <v>26</v>
      </c>
      <c r="B206" t="s">
        <v>6</v>
      </c>
      <c r="C206" t="s">
        <v>29</v>
      </c>
      <c r="D206">
        <v>32</v>
      </c>
      <c r="E206">
        <v>6618</v>
      </c>
      <c r="F206">
        <v>206.8125</v>
      </c>
    </row>
    <row r="207" spans="1:8" x14ac:dyDescent="0.2">
      <c r="A207" t="s">
        <v>26</v>
      </c>
      <c r="B207" t="s">
        <v>7</v>
      </c>
      <c r="C207" t="s">
        <v>29</v>
      </c>
      <c r="D207">
        <v>49</v>
      </c>
      <c r="E207">
        <v>10182</v>
      </c>
      <c r="F207">
        <v>207.79591836734693</v>
      </c>
    </row>
    <row r="208" spans="1:8" x14ac:dyDescent="0.2">
      <c r="A208" t="s">
        <v>26</v>
      </c>
      <c r="B208" t="s">
        <v>8</v>
      </c>
      <c r="C208" t="s">
        <v>29</v>
      </c>
      <c r="D208">
        <v>43</v>
      </c>
      <c r="E208">
        <v>9126</v>
      </c>
      <c r="F208">
        <v>212.23255813953489</v>
      </c>
      <c r="G208">
        <f>AVERAGE(F204:F208)</f>
        <v>209.0318316650127</v>
      </c>
      <c r="H208">
        <f>STDEV(F204:F208)/SQRT(5)</f>
        <v>1.7341310606775966</v>
      </c>
    </row>
    <row r="210" spans="1:8" x14ac:dyDescent="0.2">
      <c r="A210" t="s">
        <v>27</v>
      </c>
      <c r="B210" t="s">
        <v>4</v>
      </c>
      <c r="C210" t="s">
        <v>30</v>
      </c>
      <c r="D210">
        <v>42</v>
      </c>
      <c r="E210">
        <v>8124</v>
      </c>
      <c r="F210">
        <v>193.42857142857142</v>
      </c>
    </row>
    <row r="211" spans="1:8" x14ac:dyDescent="0.2">
      <c r="A211" t="s">
        <v>27</v>
      </c>
      <c r="B211" t="s">
        <v>5</v>
      </c>
      <c r="C211" t="s">
        <v>30</v>
      </c>
      <c r="D211">
        <v>41</v>
      </c>
      <c r="E211">
        <v>7860</v>
      </c>
      <c r="F211">
        <v>191.70731707317074</v>
      </c>
    </row>
    <row r="212" spans="1:8" x14ac:dyDescent="0.2">
      <c r="A212" t="s">
        <v>27</v>
      </c>
      <c r="B212" t="s">
        <v>6</v>
      </c>
      <c r="C212" t="s">
        <v>30</v>
      </c>
      <c r="D212">
        <v>38</v>
      </c>
      <c r="E212">
        <v>7290</v>
      </c>
      <c r="F212">
        <v>191.84210526315789</v>
      </c>
    </row>
    <row r="213" spans="1:8" x14ac:dyDescent="0.2">
      <c r="A213" t="s">
        <v>27</v>
      </c>
      <c r="B213" t="s">
        <v>7</v>
      </c>
      <c r="C213" t="s">
        <v>30</v>
      </c>
      <c r="D213">
        <v>41</v>
      </c>
      <c r="E213">
        <v>7752</v>
      </c>
      <c r="F213">
        <v>189.07317073170731</v>
      </c>
    </row>
    <row r="214" spans="1:8" x14ac:dyDescent="0.2">
      <c r="A214" t="s">
        <v>27</v>
      </c>
      <c r="B214" t="s">
        <v>8</v>
      </c>
      <c r="C214" t="s">
        <v>30</v>
      </c>
      <c r="D214">
        <v>31</v>
      </c>
      <c r="E214">
        <v>5856</v>
      </c>
      <c r="F214">
        <v>188.90322580645162</v>
      </c>
      <c r="G214">
        <f>AVERAGE(F210:F214)</f>
        <v>190.99087806061178</v>
      </c>
      <c r="H214">
        <f>STDEV(F210:F214)/SQRT(5)</f>
        <v>0.87224179270713897</v>
      </c>
    </row>
    <row r="215" spans="1:8" x14ac:dyDescent="0.2">
      <c r="A215" t="s">
        <v>27</v>
      </c>
      <c r="B215" t="s">
        <v>4</v>
      </c>
      <c r="C215" t="s">
        <v>29</v>
      </c>
      <c r="D215">
        <v>54</v>
      </c>
      <c r="E215">
        <v>10572</v>
      </c>
      <c r="F215">
        <v>195.77777777777777</v>
      </c>
    </row>
    <row r="216" spans="1:8" x14ac:dyDescent="0.2">
      <c r="A216" t="s">
        <v>27</v>
      </c>
      <c r="B216" t="s">
        <v>5</v>
      </c>
      <c r="C216" t="s">
        <v>29</v>
      </c>
      <c r="D216">
        <v>43</v>
      </c>
      <c r="E216">
        <v>8526</v>
      </c>
      <c r="F216">
        <v>198.27906976744185</v>
      </c>
    </row>
    <row r="217" spans="1:8" x14ac:dyDescent="0.2">
      <c r="A217" t="s">
        <v>27</v>
      </c>
      <c r="B217" t="s">
        <v>6</v>
      </c>
      <c r="C217" t="s">
        <v>29</v>
      </c>
      <c r="D217">
        <v>46</v>
      </c>
      <c r="E217">
        <v>9084</v>
      </c>
      <c r="F217">
        <v>197.47826086956522</v>
      </c>
    </row>
    <row r="218" spans="1:8" x14ac:dyDescent="0.2">
      <c r="A218" t="s">
        <v>27</v>
      </c>
      <c r="B218" t="s">
        <v>7</v>
      </c>
      <c r="C218" t="s">
        <v>29</v>
      </c>
      <c r="D218">
        <v>30</v>
      </c>
      <c r="E218">
        <v>5832</v>
      </c>
      <c r="F218">
        <v>194.4</v>
      </c>
    </row>
    <row r="219" spans="1:8" x14ac:dyDescent="0.2">
      <c r="A219" t="s">
        <v>27</v>
      </c>
      <c r="B219" t="s">
        <v>8</v>
      </c>
      <c r="C219" t="s">
        <v>29</v>
      </c>
      <c r="D219">
        <v>26</v>
      </c>
      <c r="E219">
        <v>5034</v>
      </c>
      <c r="F219">
        <v>193.61538461538461</v>
      </c>
      <c r="G219">
        <f>AVERAGE(F215:F219)</f>
        <v>195.9100986060339</v>
      </c>
      <c r="H219">
        <f>STDEV(F215:F219)/SQRT(5)</f>
        <v>0.88415994448865676</v>
      </c>
    </row>
  </sheetData>
  <sortState xmlns:xlrd2="http://schemas.microsoft.com/office/spreadsheetml/2017/richdata2" ref="A210:F219">
    <sortCondition ref="C210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Parvin</dc:creator>
  <cp:lastModifiedBy>Parvin</cp:lastModifiedBy>
  <dcterms:created xsi:type="dcterms:W3CDTF">2020-06-25T21:05:31Z</dcterms:created>
  <dcterms:modified xsi:type="dcterms:W3CDTF">2021-05-05T15:51:40Z</dcterms:modified>
</cp:coreProperties>
</file>